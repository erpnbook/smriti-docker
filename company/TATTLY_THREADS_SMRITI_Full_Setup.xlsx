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ending Inputs" sheetId="1" r:id="rId5"/>
    <sheet state="visible" name="2. Item Master" sheetId="2" r:id="rId6"/>
    <sheet state="visible" name="3. Opening Stock" sheetId="3" r:id="rId7"/>
    <sheet state="visible" name="4. Customer Master" sheetId="4" r:id="rId8"/>
    <sheet state="visible" name="5. Supplier Register" sheetId="5" r:id="rId9"/>
    <sheet state="visible" name="6. Price Lists" sheetId="6" r:id="rId10"/>
    <sheet state="visible" name="7. Reorder &amp; Purchase" sheetId="7" r:id="rId11"/>
    <sheet state="visible" name="8. Loyalty Programme" sheetId="8" r:id="rId12"/>
    <sheet state="visible" name="9. Warehouse &amp; Racks" sheetId="9" r:id="rId13"/>
    <sheet state="visible" name="10. B2B Terms &amp; Schemes" sheetId="10" r:id="rId14"/>
    <sheet state="visible" name="11. Users &amp; Roles" sheetId="11" r:id="rId15"/>
    <sheet state="visible" name="12. Master Checklist" sheetId="12" r:id="rId16"/>
    <sheet state="visible" name="13. Instructions" sheetId="13" r:id="rId17"/>
  </sheets>
  <definedNames/>
  <calcPr/>
</workbook>
</file>

<file path=xl/sharedStrings.xml><?xml version="1.0" encoding="utf-8"?>
<sst xmlns="http://schemas.openxmlformats.org/spreadsheetml/2006/main" count="1388" uniqueCount="853">
  <si>
    <t>TATTLY THREADS  ·  SMRITI Retail OS — Pending Client Inputs (All Modules)</t>
  </si>
  <si>
    <t>✅  Fill all AMBER rows. Consult CA for statutory fields. Return completed sheet to SMRITI implementation partner before go-live.</t>
  </si>
  <si>
    <t>⚠  Fields marked ⚠ Pending are blocking go-live. Fields marked ⚠ Review need owner/CA decision.</t>
  </si>
  <si>
    <t>#</t>
  </si>
  <si>
    <t>Field / Requirement</t>
  </si>
  <si>
    <t>Module / DocType</t>
  </si>
  <si>
    <t>Your Answer / Value</t>
  </si>
  <si>
    <t>Who to Ask</t>
  </si>
  <si>
    <t>Notes &amp; Guidance</t>
  </si>
  <si>
    <t xml:space="preserve">  ▸  COMPANY &amp; FISCAL SETUP</t>
  </si>
  <si>
    <t>Fiscal Year Start Date</t>
  </si>
  <si>
    <t>Setup &gt; Fiscal Year</t>
  </si>
  <si>
    <t>01-Apr-20__</t>
  </si>
  <si>
    <t>CA</t>
  </si>
  <si>
    <t>Confirm exact commencement year. Usually April 1.</t>
  </si>
  <si>
    <t>Fiscal Year End Date</t>
  </si>
  <si>
    <t>31-Mar-20__</t>
  </si>
  <si>
    <t>Usually March 31.</t>
  </si>
  <si>
    <t>Books Beginning From</t>
  </si>
  <si>
    <t>Setup &gt; Company</t>
  </si>
  <si>
    <t>DD-Mon-YYYY</t>
  </si>
  <si>
    <t>First date of transaction entry in system.</t>
  </si>
  <si>
    <t>GST Registration Type</t>
  </si>
  <si>
    <t>India Compliance &gt; GST Settings</t>
  </si>
  <si>
    <t>Regular / Composition</t>
  </si>
  <si>
    <t>Composition if turnover &lt; ₹1.5 Cr and opted in.</t>
  </si>
  <si>
    <t>TAN Number</t>
  </si>
  <si>
    <t>Setup &gt; Company &gt; Tax IDs</t>
  </si>
  <si>
    <t>10-char e.g. MUMX00000X</t>
  </si>
  <si>
    <t>Apply at www.tin-nsdl.com if not yet obtained.</t>
  </si>
  <si>
    <t xml:space="preserve">  ▸  GST &amp; RETURN FILING</t>
  </si>
  <si>
    <t>GSTR-1 Periodicity</t>
  </si>
  <si>
    <t>Monthly / Quarterly (QRMP)</t>
  </si>
  <si>
    <t>Quarterly only if opted into QRMP scheme.</t>
  </si>
  <si>
    <t>GSTR-3B Periodicity</t>
  </si>
  <si>
    <t>Monthly</t>
  </si>
  <si>
    <t>Most regular taxpayers monthly.</t>
  </si>
  <si>
    <t>E-Invoicing Applicable?</t>
  </si>
  <si>
    <t>Yes / No</t>
  </si>
  <si>
    <t>Mandatory if turnover ≥ ₹5 Crore in any prior FY.</t>
  </si>
  <si>
    <t>E-Invoice Applicable From Date</t>
  </si>
  <si>
    <t>Per CBIC notification. Fill only if E-Invoice = Yes.</t>
  </si>
  <si>
    <t>HSN Summary in GSTR-1?</t>
  </si>
  <si>
    <t>Required if turnover &gt; ₹5 Cr; advisable for all.</t>
  </si>
  <si>
    <t xml:space="preserve">  ▸  TDS CONFIGURATION</t>
  </si>
  <si>
    <t>TDS Applicable?</t>
  </si>
  <si>
    <t>Accounts &gt; TDS</t>
  </si>
  <si>
    <t>Yes if paying contractors, rent, design fees.</t>
  </si>
  <si>
    <t>Responsible Person Full Name</t>
  </si>
  <si>
    <t>Enter full legal name</t>
  </si>
  <si>
    <t>Proprietor</t>
  </si>
  <si>
    <t>Name on TDS certificates Form 16A.</t>
  </si>
  <si>
    <t>Responsible Person PAN</t>
  </si>
  <si>
    <t>10-digit personal PAN</t>
  </si>
  <si>
    <t>Personal PAN of signing authority.</t>
  </si>
  <si>
    <t>Designation</t>
  </si>
  <si>
    <t>Proprietor / Director</t>
  </si>
  <si>
    <t>Designation on TDS returns.</t>
  </si>
  <si>
    <t>§194C — Stitching/Job Work</t>
  </si>
  <si>
    <t>Enable? Yes / No</t>
  </si>
  <si>
    <t>Enable if paying stitching units &gt; ₹1 Lakh p.a.</t>
  </si>
  <si>
    <t>§194I — Shop/Office Rent</t>
  </si>
  <si>
    <t>Enable if monthly rent &gt; ₹20,000.</t>
  </si>
  <si>
    <t>§194J — Professional Fees</t>
  </si>
  <si>
    <t>Design / consultant fees &gt; ₹30,000 p.a.</t>
  </si>
  <si>
    <t>§194H — Agent Commission</t>
  </si>
  <si>
    <t>Sales agents / distributors &gt; ₹15,000 p.a.</t>
  </si>
  <si>
    <t xml:space="preserve">  ▸  BANK &amp; PAYMENT</t>
  </si>
  <si>
    <t>Bank Account Type</t>
  </si>
  <si>
    <t>Accounts &gt; Bank Account</t>
  </si>
  <si>
    <t>Current / Savings / OD</t>
  </si>
  <si>
    <t>Bank Passbook</t>
  </si>
  <si>
    <t>As shown in passbook. Usually Current for business.</t>
  </si>
  <si>
    <t>UPI Merchant VPA / UPI ID</t>
  </si>
  <si>
    <t>POS &gt; Payment Methods</t>
  </si>
  <si>
    <t>e.g. tattlythreads@sbi</t>
  </si>
  <si>
    <t>Bank / UPI App</t>
  </si>
  <si>
    <t>For dynamic QR generation at counter.</t>
  </si>
  <si>
    <t>UPI Merchant Display Name</t>
  </si>
  <si>
    <t>e.g. Tattly Threads</t>
  </si>
  <si>
    <t>Owner</t>
  </si>
  <si>
    <t>Name shown to customer on payment screen.</t>
  </si>
  <si>
    <t>Payment Gateway (Online Orders)</t>
  </si>
  <si>
    <t>ERPNext &gt; Payment Gateway</t>
  </si>
  <si>
    <t>Razorpay / Cashfree / None</t>
  </si>
  <si>
    <t>For B2B advance / eCommerce collections online.</t>
  </si>
  <si>
    <t>Payment Gateway API Key</t>
  </si>
  <si>
    <t>From gateway dashboard</t>
  </si>
  <si>
    <t>Required only if Payment Gateway != None.</t>
  </si>
  <si>
    <t xml:space="preserve">  ▸  WAREHOUSE &amp; INVENTORY</t>
  </si>
  <si>
    <t>Warehouse Valuation Method</t>
  </si>
  <si>
    <t>Stock &gt; Settings</t>
  </si>
  <si>
    <t>FIFO / Moving Average</t>
  </si>
  <si>
    <t>FIFO recommended for retail. Moving Avg for wholesale.</t>
  </si>
  <si>
    <t>Allow Negative Stock?</t>
  </si>
  <si>
    <t>No (recommended)</t>
  </si>
  <si>
    <t>Set No to prevent billing without stock entries.</t>
  </si>
  <si>
    <t>Auto Material Request on Reorder</t>
  </si>
  <si>
    <t>SMRITI raises MR when bin qty &lt; reorder level.</t>
  </si>
  <si>
    <t>Default B2C Warehouse</t>
  </si>
  <si>
    <t>Stock &gt; Warehouse</t>
  </si>
  <si>
    <t>Stores - TT</t>
  </si>
  <si>
    <t>Warehouse deducted on POS billing.</t>
  </si>
  <si>
    <t>Default B2B/Wholesale Warehouse</t>
  </si>
  <si>
    <t>e.g. Godown - TT</t>
  </si>
  <si>
    <t>Separate warehouse for wholesale dispatch.</t>
  </si>
  <si>
    <t xml:space="preserve">  ▸  B2C RETAIL COUNTER</t>
  </si>
  <si>
    <t>Thermal Printer Size</t>
  </si>
  <si>
    <t>POS &gt; Print Format</t>
  </si>
  <si>
    <t>80mm / 58mm</t>
  </si>
  <si>
    <t>Hardware</t>
  </si>
  <si>
    <t>Measure receipt roll width. 80mm is standard.</t>
  </si>
  <si>
    <t>Barcode Label Size</t>
  </si>
  <si>
    <t>Barcode Print Designer</t>
  </si>
  <si>
    <t>e.g. 50mm × 25mm</t>
  </si>
  <si>
    <t>Physical dimension of garment tag stickers.</t>
  </si>
  <si>
    <t>Cashier Discount Limit (%)</t>
  </si>
  <si>
    <t>POS Profile &gt; Permissions</t>
  </si>
  <si>
    <t>e.g. 10%</t>
  </si>
  <si>
    <t>Maximum % cashier can offer without manager override.</t>
  </si>
  <si>
    <t>Loyalty Points Programme?</t>
  </si>
  <si>
    <t>Loyalty Program DocType</t>
  </si>
  <si>
    <t>SMRITI can award points per ₹ spent at counter.</t>
  </si>
  <si>
    <t>Points per ₹100 spent</t>
  </si>
  <si>
    <t>e.g. 1 point per ₹100</t>
  </si>
  <si>
    <t>Fill only if Loyalty = Yes.</t>
  </si>
  <si>
    <t>Redemption Rate (points → ₹)</t>
  </si>
  <si>
    <t>e.g. 100 points = ₹10</t>
  </si>
  <si>
    <t>Invoice T&amp;C Text</t>
  </si>
  <si>
    <t>Type your terms here</t>
  </si>
  <si>
    <t>Printed at bottom of every receipt.</t>
  </si>
  <si>
    <t xml:space="preserve">  ▸  B2B WHOLESALE &amp; CREDIT</t>
  </si>
  <si>
    <t>Credit Days — Default</t>
  </si>
  <si>
    <t>Selling &gt; Selling Settings</t>
  </si>
  <si>
    <t>e.g. 30 days</t>
  </si>
  <si>
    <t>Owner/CA</t>
  </si>
  <si>
    <t>Default payment due days on B2B invoices.</t>
  </si>
  <si>
    <t>Credit Limit — Default (₹)</t>
  </si>
  <si>
    <t>Customer DocType</t>
  </si>
  <si>
    <t>e.g. ₹1,00,000</t>
  </si>
  <si>
    <t>Per-customer credit ceiling. Can override per party.</t>
  </si>
  <si>
    <t>Overdue Interest Rate (% p.a.)</t>
  </si>
  <si>
    <t>Accounts &gt; Settings</t>
  </si>
  <si>
    <t>e.g. 18% p.a.</t>
  </si>
  <si>
    <t>Charged on delayed B2B payments if applicable.</t>
  </si>
  <si>
    <t>E-Way Bill Threshold (₹)</t>
  </si>
  <si>
    <t>India Compliance &gt; E-Way Bill</t>
  </si>
  <si>
    <t>₹50,000 (statutory minimum)</t>
  </si>
  <si>
    <t>Auto-generate e-Way Bill for dispatches above this.</t>
  </si>
  <si>
    <t>Dispatch Vehicle Type</t>
  </si>
  <si>
    <t>E-Way Bill Settings</t>
  </si>
  <si>
    <t>Road / Rail / Air</t>
  </si>
  <si>
    <t>Most common mode for your wholesale dispatches.</t>
  </si>
  <si>
    <t>Authorized Signature File</t>
  </si>
  <si>
    <t>B2B Invoice Template</t>
  </si>
  <si>
    <t>Confirm signature PNG correct</t>
  </si>
  <si>
    <t>tattly_threads_signature.png used on Tax Invoice PDFs.</t>
  </si>
  <si>
    <t xml:space="preserve">  ▸  ACCOUNTS &amp; COST CENTRES</t>
  </si>
  <si>
    <t>Cost Centre Structure</t>
  </si>
  <si>
    <t>Accounts &gt; Cost Centre</t>
  </si>
  <si>
    <t>Single / Multi-Branch</t>
  </si>
  <si>
    <t>Multi only if tracking P&amp;L per branch separately.</t>
  </si>
  <si>
    <t>Opening Balance Date</t>
  </si>
  <si>
    <t>Accounts &gt; Opening Entry</t>
  </si>
  <si>
    <t>Date from which trial balance is being migrated.</t>
  </si>
  <si>
    <t>Migrate Previous AR/AP?</t>
  </si>
  <si>
    <t>Accounts &gt; Journal Entry</t>
  </si>
  <si>
    <t>Bring forward outstanding customer/vendor balances?</t>
  </si>
  <si>
    <t>Depreciation Method</t>
  </si>
  <si>
    <t>Assets &gt; Asset Settings</t>
  </si>
  <si>
    <t>SLM / WDV</t>
  </si>
  <si>
    <t>Straight Line or Written Down Value for fixed assets.</t>
  </si>
  <si>
    <t xml:space="preserve">  📋  Complete all rows → Share with CA → Return to SMRITI partner at D:\Smriti_Retail_OS\</t>
  </si>
  <si>
    <t>TATTLY THREADS  ·  SMRITI Retail OS — Item Master / Style Matrix</t>
  </si>
  <si>
    <t>📦  One row per STYLE. SMRITI /sizewise_item auto-expands to size-wise Item variants (e.g. TT-MS-001-S, TT-MS-001-M…).</t>
  </si>
  <si>
    <t>⚠  HSN must be exactly 6 digits. MRP &gt; 0 mandatory. Tax slab: 5% GST (MRP &lt; ₹1,000) | 12% GST (MRP ≥ ₹1,000). Confirm with CA.</t>
  </si>
  <si>
    <t>STYLE IDENTITY</t>
  </si>
  <si>
    <t>CLASSIFICATION</t>
  </si>
  <si>
    <t>SIZE MATRIX</t>
  </si>
  <si>
    <t>PRICING &amp; COST</t>
  </si>
  <si>
    <t>GST / COMPLIANCE</t>
  </si>
  <si>
    <t>REORDER &amp; LOGISTICS</t>
  </si>
  <si>
    <t>Article / Style Code *</t>
  </si>
  <si>
    <t>Style Description *</t>
  </si>
  <si>
    <t>Colour / Design</t>
  </si>
  <si>
    <t>Brand / Label</t>
  </si>
  <si>
    <t>Category *
(e.g. Men Shirts)</t>
  </si>
  <si>
    <t>Sub-Category
(e.g. Linen)</t>
  </si>
  <si>
    <t>Sub-Sub Cat.
(optional)</t>
  </si>
  <si>
    <t>Size Type *
Alpha / Numeric</t>
  </si>
  <si>
    <t>Sizes Available *
(comma-sep)</t>
  </si>
  <si>
    <t>Base Size
(e.g. M or 40)</t>
  </si>
  <si>
    <t>UOM *
(Nos/Pcs)</t>
  </si>
  <si>
    <t>MRP ₹ *
(per unit)</t>
  </si>
  <si>
    <t>Cost / Val.
Rate ₹</t>
  </si>
  <si>
    <t>Margin %
(auto)</t>
  </si>
  <si>
    <t>HSN Code *
(6 digits)</t>
  </si>
  <si>
    <t>GST Rate % *
(5 / 12 / 18)</t>
  </si>
  <si>
    <t>Reorder Qty
(per size)</t>
  </si>
  <si>
    <t>Country of
Origin</t>
  </si>
  <si>
    <t>TT-MS-001</t>
  </si>
  <si>
    <t>Men's Linen Slim Fit Shirt</t>
  </si>
  <si>
    <t>Indigo Blue</t>
  </si>
  <si>
    <t>Tattly</t>
  </si>
  <si>
    <t>Men Shirts</t>
  </si>
  <si>
    <t>Linen</t>
  </si>
  <si>
    <t>Alpha</t>
  </si>
  <si>
    <t>S,M,L,XL,XXL</t>
  </si>
  <si>
    <t>M</t>
  </si>
  <si>
    <t>Nos</t>
  </si>
  <si>
    <t>620120</t>
  </si>
  <si>
    <t>India</t>
  </si>
  <si>
    <t>TT-MS-002</t>
  </si>
  <si>
    <t>Charcoal</t>
  </si>
  <si>
    <t>TT-WK-001</t>
  </si>
  <si>
    <t>Women's Kurti Floral Print</t>
  </si>
  <si>
    <t>Peach</t>
  </si>
  <si>
    <t>Women Kurtas</t>
  </si>
  <si>
    <t>Printed</t>
  </si>
  <si>
    <t>XS,S,M,L,XL</t>
  </si>
  <si>
    <t>620462</t>
  </si>
  <si>
    <t>TT-TRS-001</t>
  </si>
  <si>
    <t>Men's Trousers Formal</t>
  </si>
  <si>
    <t>Navy</t>
  </si>
  <si>
    <t>Men Trousers</t>
  </si>
  <si>
    <t>Formal</t>
  </si>
  <si>
    <t>Numeric</t>
  </si>
  <si>
    <t>28,30,32,34,36</t>
  </si>
  <si>
    <t>32</t>
  </si>
  <si>
    <t>620342</t>
  </si>
  <si>
    <t>TT-JK-001</t>
  </si>
  <si>
    <t>Men's Blazer Slim Fit</t>
  </si>
  <si>
    <t>Black</t>
  </si>
  <si>
    <t>Men Blazers</t>
  </si>
  <si>
    <t>38,40,42,44,46</t>
  </si>
  <si>
    <t>40</t>
  </si>
  <si>
    <t>620329</t>
  </si>
  <si>
    <t>TT-SC-001</t>
  </si>
  <si>
    <t>Women's Scarf Printed</t>
  </si>
  <si>
    <t>Multi</t>
  </si>
  <si>
    <t>Accessories</t>
  </si>
  <si>
    <t>Scarves</t>
  </si>
  <si>
    <t>Free Size</t>
  </si>
  <si>
    <t>621490</t>
  </si>
  <si>
    <t>TATTLY THREADS  ·  SMRITI Retail OS — Opening Stock / Inventory Count</t>
  </si>
  <si>
    <t>📦  Fill AFTER Item Master import. Item Codes come from SMRITI size-wise variants. One row per SKU (style + colour + size).</t>
  </si>
  <si>
    <t>⚠  Enter Valuation Rate (unit cost). Required for COGS and GP reports. Total Value auto-calculates.</t>
  </si>
  <si>
    <t>Item Code *
(SMRITI variant)</t>
  </si>
  <si>
    <t>Item Description</t>
  </si>
  <si>
    <t>Size</t>
  </si>
  <si>
    <t>Warehouse *</t>
  </si>
  <si>
    <t>Batch No.
(if applicable)</t>
  </si>
  <si>
    <t>Qty on Hand *</t>
  </si>
  <si>
    <t>Valuation
Rate ₹ *</t>
  </si>
  <si>
    <t>Total Value ₹
(auto)</t>
  </si>
  <si>
    <t>TT-MS-001-S</t>
  </si>
  <si>
    <t>Men's Linen Slim Fit Shirt - Indigo Blue</t>
  </si>
  <si>
    <t>S</t>
  </si>
  <si>
    <t>TT-MS-001-M</t>
  </si>
  <si>
    <t>TT-MS-001-L</t>
  </si>
  <si>
    <t>L</t>
  </si>
  <si>
    <t>TT-MS-001-XL</t>
  </si>
  <si>
    <t>XL</t>
  </si>
  <si>
    <t>TT-WK-001-S</t>
  </si>
  <si>
    <t>Women's Kurti Floral Print - Peach</t>
  </si>
  <si>
    <t>TT-WK-001-M</t>
  </si>
  <si>
    <t>TT-WK-001-L</t>
  </si>
  <si>
    <t>TT-TRS-001-30</t>
  </si>
  <si>
    <t>Men's Trousers Formal - Navy</t>
  </si>
  <si>
    <t>30</t>
  </si>
  <si>
    <t>TT-TRS-001-32</t>
  </si>
  <si>
    <t>TT-TRS-001-34</t>
  </si>
  <si>
    <t>34</t>
  </si>
  <si>
    <t xml:space="preserve">  TOTAL OPENING STOCK VALUE</t>
  </si>
  <si>
    <t>TATTLY THREADS  ·  SMRITI Retail OS — Customer Master (B2C Retail + B2B Wholesale)</t>
  </si>
  <si>
    <t>👤  B2C: Mobile number is the primary key for loyalty. B2B: GSTIN mandatory for Tax Invoice. Shipping Address required for dispatch.</t>
  </si>
  <si>
    <t>⚠  B2B customers without GSTIN will receive only Bill of Supply. Credit Limit in ₹ triggers auto-hold on overdue invoices.</t>
  </si>
  <si>
    <t>IDENTITY</t>
  </si>
  <si>
    <t>CONTACT</t>
  </si>
  <si>
    <t>ADDRESS</t>
  </si>
  <si>
    <t>B2B / GST</t>
  </si>
  <si>
    <t>CREDIT TERMS</t>
  </si>
  <si>
    <t>Customer Name *</t>
  </si>
  <si>
    <t>Type *
B2C/B2B</t>
  </si>
  <si>
    <t>Mobile *
(B2C primary key)</t>
  </si>
  <si>
    <t>Email</t>
  </si>
  <si>
    <t>Billing Address</t>
  </si>
  <si>
    <t>City</t>
  </si>
  <si>
    <t>State</t>
  </si>
  <si>
    <t>Shipping Address
(if diff from billing)</t>
  </si>
  <si>
    <t>PIN</t>
  </si>
  <si>
    <t>Country</t>
  </si>
  <si>
    <t>GSTIN
(B2B mandatory)</t>
  </si>
  <si>
    <t>Credit Limit ₹
(B2B)</t>
  </si>
  <si>
    <t>Credit Days
(B2B)</t>
  </si>
  <si>
    <t>Priya Sharma</t>
  </si>
  <si>
    <t>B2C</t>
  </si>
  <si>
    <t>9876543210</t>
  </si>
  <si>
    <t>priya@gmail.com</t>
  </si>
  <si>
    <t>102, Linking Road, Bandra West</t>
  </si>
  <si>
    <t>Mumbai</t>
  </si>
  <si>
    <t>Maharashtra</t>
  </si>
  <si>
    <t>400050</t>
  </si>
  <si>
    <t>Rahul Mehta</t>
  </si>
  <si>
    <t>9988776655</t>
  </si>
  <si>
    <t>Fashion Hub Stores</t>
  </si>
  <si>
    <t>B2B</t>
  </si>
  <si>
    <t>9123456780</t>
  </si>
  <si>
    <t>orders@fashionhub.com</t>
  </si>
  <si>
    <t>Plot 44, APMC Market, Vashi</t>
  </si>
  <si>
    <t>Navi Mumbai</t>
  </si>
  <si>
    <t>Warehouse 7, APMC Sector 19</t>
  </si>
  <si>
    <t>400703</t>
  </si>
  <si>
    <t>27AABCF1234G1ZZ</t>
  </si>
  <si>
    <t>Trendy Boutique Pvt Ltd</t>
  </si>
  <si>
    <t>9900112233</t>
  </si>
  <si>
    <t>purchase@trendy.com</t>
  </si>
  <si>
    <t>12, Commercial Complex, FC Road</t>
  </si>
  <si>
    <t>Pune</t>
  </si>
  <si>
    <t>Same as billing</t>
  </si>
  <si>
    <t>411004</t>
  </si>
  <si>
    <t>27AADCT9876H1ZP</t>
  </si>
  <si>
    <t>Walk-in Customer</t>
  </si>
  <si>
    <t>0000000000</t>
  </si>
  <si>
    <t>TATTLY THREADS  ·  SMRITI Retail OS — Supplier / Vendor Register</t>
  </si>
  <si>
    <t>🏭  Include fabric suppliers, manufacturers, stitching units, packaging vendors, and all parties to whom SMRITI will raise POs.</t>
  </si>
  <si>
    <t>⚠  GSTIN mandatory for GST-registered suppliers (ITC claims depend on this). Mark Unregistered vendors clearly.</t>
  </si>
  <si>
    <t>Supplier Name *</t>
  </si>
  <si>
    <t>Contact Person</t>
  </si>
  <si>
    <t>Mobile / Phone</t>
  </si>
  <si>
    <t>Full Address</t>
  </si>
  <si>
    <t>GSTIN
(if registered)</t>
  </si>
  <si>
    <t>Supplier Type *
(Regular/Unreg)</t>
  </si>
  <si>
    <t>Payment Terms
(e.g. 30 days)</t>
  </si>
  <si>
    <t>Surat Fabric Mills Pvt Ltd</t>
  </si>
  <si>
    <t>Rajesh Shah</t>
  </si>
  <si>
    <t>rajesh@suratfabric.com</t>
  </si>
  <si>
    <t>Plot 12, Textile Market, Ring Road, Surat</t>
  </si>
  <si>
    <t>Surat</t>
  </si>
  <si>
    <t>Gujarat</t>
  </si>
  <si>
    <t>24AABCS1234F1ZZ</t>
  </si>
  <si>
    <t>Regular</t>
  </si>
  <si>
    <t>30 days</t>
  </si>
  <si>
    <t>Krishna Dyeing Works</t>
  </si>
  <si>
    <t>Suresh Rao</t>
  </si>
  <si>
    <t>9988887777</t>
  </si>
  <si>
    <t>Industrial Area, Phase 2, Bhiwandi</t>
  </si>
  <si>
    <t>Thane</t>
  </si>
  <si>
    <t>27AAACK8765P1ZM</t>
  </si>
  <si>
    <t>15 days</t>
  </si>
  <si>
    <t>Arif Stitching Unit – Bandra</t>
  </si>
  <si>
    <t>Mohammed Arif</t>
  </si>
  <si>
    <t>Shop 4, Nakhoda Masjid Lane, Bandra</t>
  </si>
  <si>
    <t>Unregistered</t>
  </si>
  <si>
    <t>Advance</t>
  </si>
  <si>
    <t>National Poly Pack</t>
  </si>
  <si>
    <t>Anand Joshi</t>
  </si>
  <si>
    <t>9812345678</t>
  </si>
  <si>
    <t>MIDC, Andheri East</t>
  </si>
  <si>
    <t>27AABAN2345J1ZR</t>
  </si>
  <si>
    <t>Net 30</t>
  </si>
  <si>
    <t>TATTLY THREADS  ·  SMRITI Retail OS — Price Lists (B2C MRP + B2B Wholesale)</t>
  </si>
  <si>
    <t>💰  SMRITI supports multiple price lists. B2C uses MRP (tax-inclusive). B2B Wholesale uses base price + GST. Seasonal Sale price is a 3rd list.</t>
  </si>
  <si>
    <t>⚠  Price List names must exactly match what is configured in ERPNext Selling Settings. Currency must be INR.</t>
  </si>
  <si>
    <t>ITEM</t>
  </si>
  <si>
    <t>B2C — MRP (Tax Incl.)</t>
  </si>
  <si>
    <t>B2B — Wholesale (+ GST)</t>
  </si>
  <si>
    <t>SALE / PROMO PRICE</t>
  </si>
  <si>
    <t>NOTES</t>
  </si>
  <si>
    <t>Style Code *</t>
  </si>
  <si>
    <t>Description</t>
  </si>
  <si>
    <t>Colour</t>
  </si>
  <si>
    <t>B2C MRP ₹ *
(Standard Selling)</t>
  </si>
  <si>
    <t>Effective From
(B2C)</t>
  </si>
  <si>
    <t>B2B Wholesale
Base Price ₹ *</t>
  </si>
  <si>
    <t>Effective From
(B2B)</t>
  </si>
  <si>
    <t>Sale Price ₹
(Promo)</t>
  </si>
  <si>
    <t>Promo Valid Till</t>
  </si>
  <si>
    <t>01-Apr-2025</t>
  </si>
  <si>
    <t>31-Mar-2026</t>
  </si>
  <si>
    <t>30-Jun-2025</t>
  </si>
  <si>
    <t>Free</t>
  </si>
  <si>
    <t>31-Dec-2025</t>
  </si>
  <si>
    <t>TATTLY THREADS  ·  SMRITI Retail OS — Reorder Levels &amp; Purchase Planning</t>
  </si>
  <si>
    <t>🔄  SMRITI auto-raises Material Requests when Bin Qty ≤ Reorder Level. Default Supplier drives auto-fill in Purchase Order.</t>
  </si>
  <si>
    <t>⚠  Safety Stock = minimum buffer. Reorder Qty = economic order quantity. Lead Time in days from supplier confirmation to delivery.</t>
  </si>
  <si>
    <t>Item Code *
(Style Code)</t>
  </si>
  <si>
    <t>Size / Variant</t>
  </si>
  <si>
    <t>Current
Stock Qty</t>
  </si>
  <si>
    <t>Reorder
Level *</t>
  </si>
  <si>
    <t>Safety
Stock</t>
  </si>
  <si>
    <t>Reorder
Qty (EOQ)</t>
  </si>
  <si>
    <t>Default
Supplier</t>
  </si>
  <si>
    <t>Lead Time
(days)</t>
  </si>
  <si>
    <t>Men's Linen Slim Fit Shirt - IB</t>
  </si>
  <si>
    <t>Surat Fabric Mills</t>
  </si>
  <si>
    <t>Women's Kurti Floral - Peach</t>
  </si>
  <si>
    <t>TATTLY THREADS  ·  SMRITI Retail OS — Loyalty Programme &amp; Customer Points Migration</t>
  </si>
  <si>
    <t>🎁  Map existing loyalty balances for migration. Also define programme tiers (Silver/Gold/Platinum) for SMRITI Loyalty Program DocType.</t>
  </si>
  <si>
    <t>⚠  Mobile number is the primary lookup key in POS. Points expire if not redeemed within Expiry Days.</t>
  </si>
  <si>
    <t xml:space="preserve">  ▸  PROGRAMME CONFIGURATION (fill once — owner decision)</t>
  </si>
  <si>
    <t xml:space="preserve">  Programme Name</t>
  </si>
  <si>
    <t>e.g. Tattly Rewards</t>
  </si>
  <si>
    <t xml:space="preserve">  Points Earned per ₹100 spent</t>
  </si>
  <si>
    <t>e.g. 1 point</t>
  </si>
  <si>
    <t xml:space="preserve">  Minimum Redemption Points</t>
  </si>
  <si>
    <t>e.g. 100 points</t>
  </si>
  <si>
    <t xml:space="preserve">  Redemption Rate</t>
  </si>
  <si>
    <t>e.g. 100 points = ₹10 off</t>
  </si>
  <si>
    <t xml:space="preserve">  Points Expiry (days)</t>
  </si>
  <si>
    <t>e.g. 365 days</t>
  </si>
  <si>
    <t xml:space="preserve">  Applicable on Sale Items?</t>
  </si>
  <si>
    <t xml:space="preserve">  Applicable on Discounted Bills?</t>
  </si>
  <si>
    <t xml:space="preserve">  ▸  EXISTING CUSTOMER POINTS MIGRATION (from old POS)</t>
  </si>
  <si>
    <t>Mobile * (POS key)</t>
  </si>
  <si>
    <t>Tier
(Silver/Gold/Plat)</t>
  </si>
  <si>
    <t>Existing
Points Balance</t>
  </si>
  <si>
    <t>Last
Purchase Date</t>
  </si>
  <si>
    <t>Notes</t>
  </si>
  <si>
    <t>Gold</t>
  </si>
  <si>
    <t>15-Jan-2025</t>
  </si>
  <si>
    <t>VIP customer</t>
  </si>
  <si>
    <t>Silver</t>
  </si>
  <si>
    <t>10-Feb-2025</t>
  </si>
  <si>
    <t>Anjali Desai</t>
  </si>
  <si>
    <t>9900112244</t>
  </si>
  <si>
    <t>anjali@gmail.com</t>
  </si>
  <si>
    <t>Platinum</t>
  </si>
  <si>
    <t>20-Mar-2025</t>
  </si>
  <si>
    <t>Top spender</t>
  </si>
  <si>
    <t>Vikram Singh</t>
  </si>
  <si>
    <t>9812233445</t>
  </si>
  <si>
    <t>01-Dec-2024</t>
  </si>
  <si>
    <t>Meena Iyer</t>
  </si>
  <si>
    <t>9870123456</t>
  </si>
  <si>
    <t>meena@yahoo.com</t>
  </si>
  <si>
    <t>14-Feb-2025</t>
  </si>
  <si>
    <t>Birthday offer due</t>
  </si>
  <si>
    <t>TATTLY THREADS  ·  SMRITI Retail OS — Warehouse, Location &amp; Rack Master</t>
  </si>
  <si>
    <t>🏬  Define all physical storage locations. SMRITI ERPNext supports nested warehouses: Company &gt; Store &gt; Rack &gt; Shelf.</t>
  </si>
  <si>
    <t>⚠  Warehouse names must end with ' - TT' suffix. B2C store and B2B godown should be separate warehouses for clean inventory separation.</t>
  </si>
  <si>
    <t xml:space="preserve">  ▸  WAREHOUSE DEFINITIONS</t>
  </si>
  <si>
    <t>Warehouse Name *
(incl. - TT suffix)</t>
  </si>
  <si>
    <t>Warehouse Type *</t>
  </si>
  <si>
    <t>Parent Warehouse</t>
  </si>
  <si>
    <t>Is Group?
(Yes/No)</t>
  </si>
  <si>
    <t>Responsible
Person</t>
  </si>
  <si>
    <t>Address /
Location</t>
  </si>
  <si>
    <t>Purpose /
Notes</t>
  </si>
  <si>
    <t>All Warehouses - TT</t>
  </si>
  <si>
    <t>Transit</t>
  </si>
  <si>
    <t>Yes</t>
  </si>
  <si>
    <t>Admin</t>
  </si>
  <si>
    <t>Top-level group — all warehouses under this</t>
  </si>
  <si>
    <t>Stores</t>
  </si>
  <si>
    <t>No</t>
  </si>
  <si>
    <t>Store Manager</t>
  </si>
  <si>
    <t>Office No. 81, Ibrahim Rehmatullah Rd, Mumbai</t>
  </si>
  <si>
    <t>B2C retail floor stock</t>
  </si>
  <si>
    <t>Godown - TT</t>
  </si>
  <si>
    <t>Warehouse In-Charge</t>
  </si>
  <si>
    <t>Same premises, back room</t>
  </si>
  <si>
    <t>B2B wholesale holding stock</t>
  </si>
  <si>
    <t>In-Transit - TT</t>
  </si>
  <si>
    <t>Stock in transit between locations</t>
  </si>
  <si>
    <t>Returns - TT</t>
  </si>
  <si>
    <t>Customer returns / damage hold</t>
  </si>
  <si>
    <t xml:space="preserve">  ▸  RACK / BIN LOCATIONS (optional — for bin-wise stock tracking)</t>
  </si>
  <si>
    <t>Rack / Bin Code *</t>
  </si>
  <si>
    <t>Parent Warehouse *</t>
  </si>
  <si>
    <t>Aisle</t>
  </si>
  <si>
    <t>Row</t>
  </si>
  <si>
    <t>Section</t>
  </si>
  <si>
    <t>Capacity (units)</t>
  </si>
  <si>
    <t>Item Type Stored</t>
  </si>
  <si>
    <t>RACK-A1</t>
  </si>
  <si>
    <t>A</t>
  </si>
  <si>
    <t>1</t>
  </si>
  <si>
    <t>Shirts</t>
  </si>
  <si>
    <t>50</t>
  </si>
  <si>
    <t>RACK-A2</t>
  </si>
  <si>
    <t>2</t>
  </si>
  <si>
    <t>RACK-B1</t>
  </si>
  <si>
    <t>B</t>
  </si>
  <si>
    <t>Kurtas</t>
  </si>
  <si>
    <t>60</t>
  </si>
  <si>
    <t>RACK-C1</t>
  </si>
  <si>
    <t>C</t>
  </si>
  <si>
    <t>Trousers</t>
  </si>
  <si>
    <t>GDN-S1</t>
  </si>
  <si>
    <t>G</t>
  </si>
  <si>
    <t>Bulk</t>
  </si>
  <si>
    <t>200</t>
  </si>
  <si>
    <t>Mixed bulk stock</t>
  </si>
  <si>
    <t>TATTLY THREADS  ·  SMRITI Retail OS — B2B Sales Terms, Discount Schemes &amp; Trade Offers</t>
  </si>
  <si>
    <t>🤝  Define discount slabs, minimum order quantities, and trade schemes for wholesale customers. SMRITI applies these automatically on Sales Order.</t>
  </si>
  <si>
    <t>⚠  Pricing Rules in ERPNext are priority-based. Higher priority number = applied first. Overlapping rules can cause unexpected discounts.</t>
  </si>
  <si>
    <t xml:space="preserve">  ▸  PRICING RULES / DISCOUNT SLABS (ERPNext &gt; Selling &gt; Pricing Rule)</t>
  </si>
  <si>
    <t>Rule Name *</t>
  </si>
  <si>
    <t>Applies To
(Customer/Group)</t>
  </si>
  <si>
    <t>Customer /
Group Name</t>
  </si>
  <si>
    <t>Item /
Category</t>
  </si>
  <si>
    <t>Min Qty</t>
  </si>
  <si>
    <t>Max Qty</t>
  </si>
  <si>
    <t>Discount %
or Amount</t>
  </si>
  <si>
    <t>Priority
(1=highest)</t>
  </si>
  <si>
    <t>Bulk Discount - 12+ pcs</t>
  </si>
  <si>
    <t>Item Group</t>
  </si>
  <si>
    <t>All B2B Customers</t>
  </si>
  <si>
    <t>All Items</t>
  </si>
  <si>
    <t>10% on 12+ pcs any item</t>
  </si>
  <si>
    <t>Blazer Trade Offer</t>
  </si>
  <si>
    <t>Customer Group</t>
  </si>
  <si>
    <t>B2B Wholesale</t>
  </si>
  <si>
    <t>15% off on 6+ Blazers</t>
  </si>
  <si>
    <t>Clearance Sale - Kurtas</t>
  </si>
  <si>
    <t>Item</t>
  </si>
  <si>
    <t>All</t>
  </si>
  <si>
    <t>3</t>
  </si>
  <si>
    <t>20% off Peach Kurta till season end</t>
  </si>
  <si>
    <t>Festival Offer - Oct</t>
  </si>
  <si>
    <t>All B2C</t>
  </si>
  <si>
    <t>4</t>
  </si>
  <si>
    <t>5% off all items Oct 1-31</t>
  </si>
  <si>
    <t xml:space="preserve">  ▸  TRADE SCHEMES — BUY X GET Y / GIFT WITH PURCHASE</t>
  </si>
  <si>
    <t>Scheme Name *</t>
  </si>
  <si>
    <t>Trigger Item /
Category</t>
  </si>
  <si>
    <t>Buy Qty *</t>
  </si>
  <si>
    <t>Free Item /
Gift</t>
  </si>
  <si>
    <t>Free Qty</t>
  </si>
  <si>
    <t>Scheme
Start Date</t>
  </si>
  <si>
    <t>Scheme
End Date</t>
  </si>
  <si>
    <t>Applies To</t>
  </si>
  <si>
    <t>Buy 3 Get 1 Shirt</t>
  </si>
  <si>
    <t>Same style free on 3 pcs buy</t>
  </si>
  <si>
    <t>Kurta Gift Hamper</t>
  </si>
  <si>
    <t>01-Oct-2025</t>
  </si>
  <si>
    <t>Free scarf on 5 kurtas</t>
  </si>
  <si>
    <t>TATTLY THREADS  ·  SMRITI Retail OS — User Accounts &amp; Role Permissions</t>
  </si>
  <si>
    <t>👥  Create one user per staff member. Individual logins are mandatory for audit trail compliance (Companies Audit Rules §11g).</t>
  </si>
  <si>
    <t>⚠  POS PIN must be 4 digits. Admin password must be set at first login. Shared passwords are a compliance violation.</t>
  </si>
  <si>
    <t xml:space="preserve">  ▸  ROLE PERMISSIONS MATRIX</t>
  </si>
  <si>
    <t>Role</t>
  </si>
  <si>
    <t>Access POS</t>
  </si>
  <si>
    <t>Create Sales Order
(B2B)</t>
  </si>
  <si>
    <t>Edit Price</t>
  </si>
  <si>
    <t>Apply Discount</t>
  </si>
  <si>
    <t>View Reports</t>
  </si>
  <si>
    <t>Manage Stock</t>
  </si>
  <si>
    <t>User Admin</t>
  </si>
  <si>
    <t>Accounts Access</t>
  </si>
  <si>
    <t>POS Profile</t>
  </si>
  <si>
    <t>System Manager</t>
  </si>
  <si>
    <t>✓ Full</t>
  </si>
  <si>
    <t>✓ Unlimited</t>
  </si>
  <si>
    <t>✓ All</t>
  </si>
  <si>
    <t>All Profiles</t>
  </si>
  <si>
    <t>Full access — owner only</t>
  </si>
  <si>
    <t>Accounts Manager</t>
  </si>
  <si>
    <t>✗</t>
  </si>
  <si>
    <t>✓ All financial</t>
  </si>
  <si>
    <t>None</t>
  </si>
  <si>
    <t>Accountant — no billing</t>
  </si>
  <si>
    <t>✓</t>
  </si>
  <si>
    <t>✓ Up to 20%</t>
  </si>
  <si>
    <t>✓ Own store</t>
  </si>
  <si>
    <t>Main Counter</t>
  </si>
  <si>
    <t>Floor manager</t>
  </si>
  <si>
    <t>POS User / Cashier</t>
  </si>
  <si>
    <t>✓ Up to 10%</t>
  </si>
  <si>
    <t>✓ Own sales only</t>
  </si>
  <si>
    <t>Counter staff only</t>
  </si>
  <si>
    <t>Warehouse Staff</t>
  </si>
  <si>
    <t>✓ Receive/Issue</t>
  </si>
  <si>
    <t>Stock movements only</t>
  </si>
  <si>
    <t>B2B Sales Executive</t>
  </si>
  <si>
    <t>✓ Up to 15%</t>
  </si>
  <si>
    <t>✓ Own orders</t>
  </si>
  <si>
    <t>Trade orders — no cash</t>
  </si>
  <si>
    <t>Read Only / Auditor</t>
  </si>
  <si>
    <t>✓ All (read)</t>
  </si>
  <si>
    <t>CA / internal audit</t>
  </si>
  <si>
    <t xml:space="preserve">  ▸  STAFF USER ACCOUNT CREATION LIST</t>
  </si>
  <si>
    <t>Full Name *</t>
  </si>
  <si>
    <t>Login Email *</t>
  </si>
  <si>
    <t>Role *</t>
  </si>
  <si>
    <t>POS PIN
(4 digits)</t>
  </si>
  <si>
    <t>Mobile</t>
  </si>
  <si>
    <t>Joining
Date</t>
  </si>
  <si>
    <t>Status</t>
  </si>
  <si>
    <t>Warehouse
Access</t>
  </si>
  <si>
    <t>Action Required</t>
  </si>
  <si>
    <t>Store Administrator</t>
  </si>
  <si>
    <t>admin@tattlythreads.com</t>
  </si>
  <si>
    <t>8899</t>
  </si>
  <si>
    <t>9604990390</t>
  </si>
  <si>
    <t>Active</t>
  </si>
  <si>
    <t>Set strong password at first login</t>
  </si>
  <si>
    <t>Main Cashier 1</t>
  </si>
  <si>
    <t>cashier1@tattlythreads.com</t>
  </si>
  <si>
    <t>1212</t>
  </si>
  <si>
    <t>⚠ Create</t>
  </si>
  <si>
    <t>Create user, assign POS role, change PIN</t>
  </si>
  <si>
    <t>manager@tattlythreads.com</t>
  </si>
  <si>
    <t>5656</t>
  </si>
  <si>
    <t>Create user, assign manager role</t>
  </si>
  <si>
    <t>B2B Sales Exec</t>
  </si>
  <si>
    <t>sales1@tattlythreads.com</t>
  </si>
  <si>
    <t>For wholesale order entry</t>
  </si>
  <si>
    <t>Accountant</t>
  </si>
  <si>
    <t>accounts@tattlythreads.com</t>
  </si>
  <si>
    <t>For day-end accounts closure</t>
  </si>
  <si>
    <t>TATTLY THREADS  ·  SMRITI Retail OS — Go-Live Master Checklist (All 60 Items)</t>
  </si>
  <si>
    <t>✅  Tick each item as Done. First billing voucher ONLY after all 60 items are ✓ Done. Items in RED are go-live blockers.</t>
  </si>
  <si>
    <t>⚠  Sequence matters — complete each section in order. Do not skip TDS, Credit Limit, or Opening Stock steps.</t>
  </si>
  <si>
    <t>Module</t>
  </si>
  <si>
    <t>Requirement</t>
  </si>
  <si>
    <t>SMRITI Path</t>
  </si>
  <si>
    <t>Statutory Ref.</t>
  </si>
  <si>
    <t xml:space="preserve">  ▸  COMPANY &amp; SYSTEM SETUP</t>
  </si>
  <si>
    <t>☐</t>
  </si>
  <si>
    <t>Company Profile</t>
  </si>
  <si>
    <t>Company Name configured</t>
  </si>
  <si>
    <t>MCA/CoI</t>
  </si>
  <si>
    <t>TATTLY THREADS</t>
  </si>
  <si>
    <t>Abbreviation set to TT</t>
  </si>
  <si>
    <t>All accounts suffixed -TT</t>
  </si>
  <si>
    <t>Registered address confirmed</t>
  </si>
  <si>
    <t>Setup &gt; Company &gt; Address</t>
  </si>
  <si>
    <t>MCA</t>
  </si>
  <si>
    <t>Mumbai 400003</t>
  </si>
  <si>
    <t>State Maharashtra code 27</t>
  </si>
  <si>
    <t>CGST Act §2(6)</t>
  </si>
  <si>
    <t>Drives CGST+SGST vs IGST</t>
  </si>
  <si>
    <t>Fiscal Year created &amp; confirmed</t>
  </si>
  <si>
    <t>IT Act</t>
  </si>
  <si>
    <t>Confirm with CA</t>
  </si>
  <si>
    <t>Books Beginning From date set</t>
  </si>
  <si>
    <t>First transaction date</t>
  </si>
  <si>
    <t>Default Currency INR</t>
  </si>
  <si>
    <t>Auto</t>
  </si>
  <si>
    <t>Auto-set on India</t>
  </si>
  <si>
    <t>Company PAN linked</t>
  </si>
  <si>
    <t>IT Act §139A</t>
  </si>
  <si>
    <t>AAXFT2508H</t>
  </si>
  <si>
    <t>TAN Number entered or applied</t>
  </si>
  <si>
    <t>IT Act §203A</t>
  </si>
  <si>
    <t>www.tin-nsdl.com</t>
  </si>
  <si>
    <t>Company Logo uploaded</t>
  </si>
  <si>
    <t>Brand</t>
  </si>
  <si>
    <t>tattly_threads_logo.png</t>
  </si>
  <si>
    <t xml:space="preserve">  ▸  GST &amp; INDIA COMPLIANCE</t>
  </si>
  <si>
    <t>GST</t>
  </si>
  <si>
    <t>India Compliance App installed</t>
  </si>
  <si>
    <t>Apps &gt; Marketplace</t>
  </si>
  <si>
    <t>CGST Act §22</t>
  </si>
  <si>
    <t>Required for GST</t>
  </si>
  <si>
    <t>GSTIN verified and entered</t>
  </si>
  <si>
    <t>27AAXFT2508H1ZR</t>
  </si>
  <si>
    <t>GST Registration Type confirmed</t>
  </si>
  <si>
    <t>CGST Act</t>
  </si>
  <si>
    <t>Regular vs Composition</t>
  </si>
  <si>
    <t>State Code 27 set</t>
  </si>
  <si>
    <t>Auto from company state</t>
  </si>
  <si>
    <t>GSTR-1 periodicity set</t>
  </si>
  <si>
    <t>CGST Act §37</t>
  </si>
  <si>
    <t>Monthly or QRMP</t>
  </si>
  <si>
    <t>E-Invoicing applicability confirmed</t>
  </si>
  <si>
    <t>CBIC</t>
  </si>
  <si>
    <t>Mandatory ≥ ₹5 Cr</t>
  </si>
  <si>
    <t>HSN / SAC codes in Item Master</t>
  </si>
  <si>
    <t>Items &gt; HSN Code</t>
  </si>
  <si>
    <t>CGST Act §15</t>
  </si>
  <si>
    <t>6-digit mandatory</t>
  </si>
  <si>
    <t xml:space="preserve">  ▸  CHART OF ACCOUNTS &amp; TAX LEDGERS</t>
  </si>
  <si>
    <t>Accounts</t>
  </si>
  <si>
    <t>CGST @ 2.5% ledger created</t>
  </si>
  <si>
    <t>Accounts &gt; Chart of Accounts</t>
  </si>
  <si>
    <t>Items &lt; ₹1,000</t>
  </si>
  <si>
    <t>SGST @ 2.5% ledger created</t>
  </si>
  <si>
    <t>SGST Act</t>
  </si>
  <si>
    <t>IGST @ 5% ledger created</t>
  </si>
  <si>
    <t>IGST Act</t>
  </si>
  <si>
    <t>Out-of-state &lt; ₹1,000</t>
  </si>
  <si>
    <t>CGST @ 9% ledger created</t>
  </si>
  <si>
    <t>Items ≥ ₹1,000</t>
  </si>
  <si>
    <t>SGST @ 9% ledger created</t>
  </si>
  <si>
    <t>IGST @ 18% ledger created</t>
  </si>
  <si>
    <t>Out-of-state ≥ ₹1,000</t>
  </si>
  <si>
    <t>Sales income ledger (Sales - TT)</t>
  </si>
  <si>
    <t>Standard income</t>
  </si>
  <si>
    <t>COGS ledger created</t>
  </si>
  <si>
    <t>Inventory expense</t>
  </si>
  <si>
    <t>Cash - TT ledger</t>
  </si>
  <si>
    <t>Counter cash</t>
  </si>
  <si>
    <t>Card Clearing - TT ledger</t>
  </si>
  <si>
    <t>Card settlements</t>
  </si>
  <si>
    <t>Write Off - TT ledger</t>
  </si>
  <si>
    <t>Rounding adjustments</t>
  </si>
  <si>
    <t>Opening balance entry (if migrating)</t>
  </si>
  <si>
    <t>With CA review</t>
  </si>
  <si>
    <t xml:space="preserve">  ▸  BANK, PAYMENT &amp; TDS</t>
  </si>
  <si>
    <t>Bank</t>
  </si>
  <si>
    <t>SBI Bank Account DocType created</t>
  </si>
  <si>
    <t>IFSC SBIN0030425</t>
  </si>
  <si>
    <t>Bank Account Type confirmed</t>
  </si>
  <si>
    <t>Current/Savings</t>
  </si>
  <si>
    <t>UPI VPA entered in POS</t>
  </si>
  <si>
    <t>UPI</t>
  </si>
  <si>
    <t>Dynamic QR generation</t>
  </si>
  <si>
    <t>TDS</t>
  </si>
  <si>
    <t>TDS applicable decision recorded</t>
  </si>
  <si>
    <t>IT Act §194</t>
  </si>
  <si>
    <t>With CA</t>
  </si>
  <si>
    <t>TAN entered</t>
  </si>
  <si>
    <t>Company &gt; Tax IDs</t>
  </si>
  <si>
    <t>Apply if not obtained</t>
  </si>
  <si>
    <t>Responsible person name &amp; PAN</t>
  </si>
  <si>
    <t>Proprietor/Director</t>
  </si>
  <si>
    <t>§194C stitching configured</t>
  </si>
  <si>
    <t>IT Act §194C</t>
  </si>
  <si>
    <t>If paying job-work</t>
  </si>
  <si>
    <t>§194I rent configured</t>
  </si>
  <si>
    <t>IT Act §194I</t>
  </si>
  <si>
    <t>If paying rent &gt; ₹20K/mo</t>
  </si>
  <si>
    <t xml:space="preserve">  ▸  WAREHOUSE &amp; STOCK</t>
  </si>
  <si>
    <t>Inventory</t>
  </si>
  <si>
    <t>Stores - TT warehouse created</t>
  </si>
  <si>
    <t>B2C floor stock</t>
  </si>
  <si>
    <t>Godown - TT warehouse created</t>
  </si>
  <si>
    <t>B2B holding stock</t>
  </si>
  <si>
    <t>Returns - TT warehouse created</t>
  </si>
  <si>
    <t>Customer returns</t>
  </si>
  <si>
    <t>Valuation method set (FIFO/MA)</t>
  </si>
  <si>
    <t>Stock &gt; Stock Settings</t>
  </si>
  <si>
    <t>Allow Negative Stock = No</t>
  </si>
  <si>
    <t>Prevents negative ledger</t>
  </si>
  <si>
    <t>Item Master imported (all styles)</t>
  </si>
  <si>
    <t>Stock &gt; Item</t>
  </si>
  <si>
    <t>Via /sizewise_item</t>
  </si>
  <si>
    <t>Opening Stock Entry submitted</t>
  </si>
  <si>
    <t>Stock &gt; Stock Entry</t>
  </si>
  <si>
    <t>With valuation rates</t>
  </si>
  <si>
    <t>Reorder levels configured</t>
  </si>
  <si>
    <t>Stock &gt; Item &gt; Reorder</t>
  </si>
  <si>
    <t>Auto-MR trigger</t>
  </si>
  <si>
    <t xml:space="preserve">  ▸  POS &amp; B2C RETAIL</t>
  </si>
  <si>
    <t>POS</t>
  </si>
  <si>
    <t>POS Profile 'Main Counter POS' created</t>
  </si>
  <si>
    <t>Retail &gt; POS Profile</t>
  </si>
  <si>
    <t>Linked to Stores - TT</t>
  </si>
  <si>
    <t>Cash payment mode linked</t>
  </si>
  <si>
    <t>POS Profile &gt; Payments</t>
  </si>
  <si>
    <t>Cash - TT</t>
  </si>
  <si>
    <t>Card payment mode linked</t>
  </si>
  <si>
    <t>Card Clearing - TT</t>
  </si>
  <si>
    <t>UPI payment mode linked</t>
  </si>
  <si>
    <t>Auto QR generation</t>
  </si>
  <si>
    <t>Discount limit 10% configured</t>
  </si>
  <si>
    <t>Cashier ceiling</t>
  </si>
  <si>
    <t>Print format set (80mm/58mm)</t>
  </si>
  <si>
    <t>Confirm printer size</t>
  </si>
  <si>
    <t>Loyalty Programme configured</t>
  </si>
  <si>
    <t>If applicable</t>
  </si>
  <si>
    <t>Barcode label format tested</t>
  </si>
  <si>
    <t>SMRITI /barcode</t>
  </si>
  <si>
    <t>Test print 1 label</t>
  </si>
  <si>
    <t xml:space="preserve">  ▸  B2B WHOLESALE &amp; SALES</t>
  </si>
  <si>
    <t>B2B Wholesale Price List created</t>
  </si>
  <si>
    <t>Selling &gt; Price List</t>
  </si>
  <si>
    <t>Separate from MRP</t>
  </si>
  <si>
    <t>B2B customer credit limits set</t>
  </si>
  <si>
    <t>Per-customer ceiling</t>
  </si>
  <si>
    <t>Default B2B credit days configured</t>
  </si>
  <si>
    <t>B2B Sales Executive user created</t>
  </si>
  <si>
    <t>Settings &gt; Users</t>
  </si>
  <si>
    <t>For order entry</t>
  </si>
  <si>
    <t>E-Way Bill settings configured</t>
  </si>
  <si>
    <t>India Compliance</t>
  </si>
  <si>
    <t>CGVAT/SGVAT</t>
  </si>
  <si>
    <t>For dispatches &gt; ₹50K</t>
  </si>
  <si>
    <t>Authorized signature PNG confirmed</t>
  </si>
  <si>
    <t>For Tax Invoice PDF</t>
  </si>
  <si>
    <t>Invoice T&amp;C text entered</t>
  </si>
  <si>
    <t>Print Format</t>
  </si>
  <si>
    <t>Exchange/return policy</t>
  </si>
  <si>
    <t xml:space="preserve">  ▸  USERS, SECURITY &amp; FINAL</t>
  </si>
  <si>
    <t>Security</t>
  </si>
  <si>
    <t>Admin password set (strong)</t>
  </si>
  <si>
    <t>Settings &gt; User</t>
  </si>
  <si>
    <t>Rule 11(g)</t>
  </si>
  <si>
    <t>Not default</t>
  </si>
  <si>
    <t>Individual user accounts created</t>
  </si>
  <si>
    <t>One per staff member</t>
  </si>
  <si>
    <t>Role permissions reviewed</t>
  </si>
  <si>
    <t>Settings &gt; Role Permissions</t>
  </si>
  <si>
    <t>Cashier vs Manager</t>
  </si>
  <si>
    <t>Final</t>
  </si>
  <si>
    <t>All tax ledgers balance = 0</t>
  </si>
  <si>
    <t>Accounts &gt; Trial Balance</t>
  </si>
  <si>
    <t>Before first voucher</t>
  </si>
  <si>
    <t>Test POS transaction (₹1)</t>
  </si>
  <si>
    <t>Retail &gt; POS</t>
  </si>
  <si>
    <t>Full cycle: bill → payment</t>
  </si>
  <si>
    <t>Test B2B Sales Order → Invoice</t>
  </si>
  <si>
    <t>Selling &gt; Sales Order</t>
  </si>
  <si>
    <t>Full cycle test</t>
  </si>
  <si>
    <t>First production voucher authorized</t>
  </si>
  <si>
    <t>Only after ALL above ✓</t>
  </si>
  <si>
    <t xml:space="preserve">  TOTAL ITEMS: 67   |   RED items = Go-Live Blockers   |   Complete ALL before first voucher</t>
  </si>
  <si>
    <t>TATTLY THREADS  ·  SMRITI Retail OS — Implementation Guide</t>
  </si>
  <si>
    <t>STEP 1</t>
  </si>
  <si>
    <t xml:space="preserve">  Sheet 1 — Pending Inputs</t>
  </si>
  <si>
    <t xml:space="preserve">  Complete all 45 amber-row fields. Share with your CA for fiscal year, GST type, TAN, and TDS configuration. This is the only sheet your CA needs to see.</t>
  </si>
  <si>
    <t>STEP 2</t>
  </si>
  <si>
    <t xml:space="preserve">  Sheet 2 — Item Master</t>
  </si>
  <si>
    <t xml:space="preserve">  Enter all garment styles (one per row). SMRITI /sizewise_item portal will auto-expand each style into size-wise SKUs. Ensure HSN = 6 digits, MRP &gt; 0.</t>
  </si>
  <si>
    <t>STEP 3</t>
  </si>
  <si>
    <t xml:space="preserve">  Sheet 3 — Opening Stock</t>
  </si>
  <si>
    <t xml:space="preserve">  AFTER Item Master import, fill in the auto-generated Item Codes with physical stock count and unit cost. This is your Day 1 inventory ledger.</t>
  </si>
  <si>
    <t>STEP 4</t>
  </si>
  <si>
    <t xml:space="preserve">  Sheet 4 — Customer Master</t>
  </si>
  <si>
    <t xml:space="preserve">  B2C: mobile number is primary key. B2B: GSTIN mandatory. Import into ERPNext &gt; Customer DocType. B2B customers get credit terms from Sheet 1.</t>
  </si>
  <si>
    <t>STEP 5</t>
  </si>
  <si>
    <t xml:space="preserve">  Sheet 5 — Supplier Register</t>
  </si>
  <si>
    <t xml:space="preserve">  All vendors who will receive Purchase Orders or TDS certificates. GSTIN required for ITC. Mark composition/unregistered vendors clearly.</t>
  </si>
  <si>
    <t>STEP 6</t>
  </si>
  <si>
    <t xml:space="preserve">  Sheet 6 — Price Lists</t>
  </si>
  <si>
    <t xml:space="preserve">  Define MRP (B2C), wholesale base price (B2B), and promo pricing. Dates control when each list activates in ERPNext Selling module.</t>
  </si>
  <si>
    <t>STEP 7</t>
  </si>
  <si>
    <t xml:space="preserve">  Sheet 7 — Reorder Levels</t>
  </si>
  <si>
    <t xml:space="preserve">  Set safety stock and reorder quantities per SKU. SMRITI auto-raises Material Requests when bin qty hits reorder level.</t>
  </si>
  <si>
    <t>STEP 8</t>
  </si>
  <si>
    <t xml:space="preserve">  Sheet 8 — Loyalty Programme</t>
  </si>
  <si>
    <t xml:space="preserve">  If running a loyalty scheme, define programme rules and migrate existing customer point balances here.</t>
  </si>
  <si>
    <t>STEP 9</t>
  </si>
  <si>
    <t xml:space="preserve">  Sheet 9 — Warehouse &amp; Racks</t>
  </si>
  <si>
    <t xml:space="preserve">  Define all warehouses (Stores, Godown, Returns, Transit). For bin-wise tracking, add rack/shelf locations.</t>
  </si>
  <si>
    <t>STEP 10</t>
  </si>
  <si>
    <t xml:space="preserve">  Sheet 10 — B2B Schemes</t>
  </si>
  <si>
    <t xml:space="preserve">  Configure pricing rules, bulk discount slabs, and trade schemes (Buy X Get Y). Priority order matters — review before activating.</t>
  </si>
  <si>
    <t>STEP 11</t>
  </si>
  <si>
    <t xml:space="preserve">  Sheet 11 — Users &amp; Roles</t>
  </si>
  <si>
    <t xml:space="preserve">  Create one login per staff member. Review role permissions matrix. POS PINs for cashiers must be 4 digits.</t>
  </si>
  <si>
    <t>STEP 12</t>
  </si>
  <si>
    <t xml:space="preserve">  Sheet 12 — Checklist</t>
  </si>
  <si>
    <t xml:space="preserve">  Tick off all 60 items. Red items are go-live blockers. Do NOT raise the first production invoice until all boxes are ✓.</t>
  </si>
  <si>
    <t>CRITICAL</t>
  </si>
  <si>
    <t xml:space="preserve">  Sequence is mandatory</t>
  </si>
  <si>
    <t xml:space="preserve">  Steps 1→2→3 must be done in order. Opening stock MUST be entered before first POS sale, or stock ledger goes negative and all P&amp;L reports are wrong.</t>
  </si>
  <si>
    <t>TEST</t>
  </si>
  <si>
    <t xml:space="preserve">  Pre-launch Test</t>
  </si>
  <si>
    <t xml:space="preserve">  1) Raise a ₹1 test POS bill → cash → close session. 2) Create a B2B Sales Order → approve → Tax Invoice → PDF. Verify GST, GSTIN, QR code, and signature all appear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</si>
</sst>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0.0%"/>
  </numFmts>
  <fonts count="30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155724"/>
      <name val="Arial"/>
    </font>
    <font>
      <i/>
      <sz val="9.0"/>
      <color rgb="FF856404"/>
      <name val="Arial"/>
    </font>
    <font>
      <b/>
      <sz val="10.0"/>
      <color rgb="FFFFFFFF"/>
      <name val="Arial"/>
    </font>
    <font>
      <b/>
      <i/>
      <sz val="9.0"/>
      <color rgb="FF1B2F5C"/>
      <name val="Arial"/>
    </font>
    <font>
      <b/>
      <sz val="9.0"/>
      <color rgb="FF856404"/>
      <name val="Arial"/>
    </font>
    <font>
      <b/>
      <sz val="10.0"/>
      <color rgb="FF111111"/>
      <name val="Arial"/>
    </font>
    <font>
      <sz val="9.0"/>
      <color rgb="FF444444"/>
      <name val="Arial"/>
    </font>
    <font>
      <i/>
      <sz val="10.0"/>
      <color rgb="FF888888"/>
      <name val="Arial"/>
    </font>
    <font>
      <sz val="9.0"/>
      <color rgb="FF555555"/>
      <name val="Arial"/>
    </font>
    <font>
      <i/>
      <sz val="9.0"/>
      <color rgb="FF666666"/>
      <name val="Arial"/>
    </font>
    <font>
      <i/>
      <sz val="9.0"/>
      <color rgb="FFFFFFFF"/>
      <name val="Arial"/>
    </font>
    <font>
      <b/>
      <sz val="9.0"/>
      <color rgb="FFFFFFFF"/>
      <name val="Arial"/>
    </font>
    <font>
      <sz val="10.0"/>
      <color rgb="FF222222"/>
      <name val="Arial"/>
    </font>
    <font>
      <b/>
      <sz val="10.0"/>
      <color rgb="FF155724"/>
      <name val="Arial"/>
    </font>
    <font>
      <sz val="9.0"/>
      <color rgb="FFAAAAAA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i/>
      <sz val="9.0"/>
      <color rgb="FF4B1F8C"/>
      <name val="Arial"/>
    </font>
    <font>
      <b/>
      <sz val="10.0"/>
      <color rgb="FF4B1F8C"/>
      <name val="Arial"/>
    </font>
    <font>
      <sz val="10.0"/>
      <color rgb="FF721C24"/>
      <name val="Arial"/>
    </font>
    <font>
      <b/>
      <sz val="10.0"/>
      <color rgb="FF856404"/>
      <name val="Arial"/>
    </font>
    <font>
      <sz val="14.0"/>
      <color rgb="FF1B2F5C"/>
      <name val="Arial"/>
    </font>
    <font>
      <b/>
      <sz val="9.0"/>
      <color rgb="FF1B2F5C"/>
      <name val="Arial"/>
    </font>
    <font>
      <i/>
      <sz val="9.0"/>
      <color rgb="FF444444"/>
      <name val="Arial"/>
    </font>
    <font>
      <b/>
      <sz val="9.0"/>
      <color rgb="FF721C24"/>
      <name val="Arial"/>
    </font>
    <font>
      <b/>
      <sz val="11.0"/>
      <color rgb="FF1B2F5C"/>
      <name val="Arial"/>
    </font>
    <font>
      <sz val="10.0"/>
      <color rgb="FF333333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B2F5C"/>
        <bgColor rgb="FF1B2F5C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EDF2FA"/>
        <bgColor rgb="FFEDF2FA"/>
      </patternFill>
    </fill>
    <fill>
      <patternFill patternType="solid">
        <fgColor rgb="FFF8F9FA"/>
        <bgColor rgb="FFF8F9FA"/>
      </patternFill>
    </fill>
    <fill>
      <patternFill patternType="solid">
        <fgColor rgb="FFFFFEF5"/>
        <bgColor rgb="FFFFFEF5"/>
      </patternFill>
    </fill>
    <fill>
      <patternFill patternType="solid">
        <fgColor rgb="FF2C4A8C"/>
        <bgColor rgb="FF2C4A8C"/>
      </patternFill>
    </fill>
    <fill>
      <patternFill patternType="solid">
        <fgColor rgb="FFFFFFFF"/>
        <bgColor rgb="FFFFFFFF"/>
      </patternFill>
    </fill>
    <fill>
      <patternFill patternType="solid">
        <fgColor rgb="FFD1ECF1"/>
        <bgColor rgb="FFD1ECF1"/>
      </patternFill>
    </fill>
    <fill>
      <patternFill patternType="solid">
        <fgColor rgb="FFF8D7DA"/>
        <bgColor rgb="FFF8D7DA"/>
      </patternFill>
    </fill>
    <fill>
      <patternFill patternType="solid">
        <fgColor rgb="FFE2D9F3"/>
        <bgColor rgb="FFE2D9F3"/>
      </patternFill>
    </fill>
    <fill>
      <patternFill patternType="solid">
        <fgColor rgb="FFFAF5FF"/>
        <bgColor rgb="FFFAF5FF"/>
      </patternFill>
    </fill>
    <fill>
      <patternFill patternType="solid">
        <fgColor rgb="FFDC3545"/>
        <bgColor rgb="FFDC3545"/>
      </patternFill>
    </fill>
    <fill>
      <patternFill patternType="solid">
        <fgColor rgb="FF17A2B8"/>
        <bgColor rgb="FF17A2B8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1B2F5C"/>
      </left>
      <right style="thin">
        <color rgb="FF1B2F5C"/>
      </right>
      <top style="thin">
        <color rgb="FF1B2F5C"/>
      </top>
      <bottom style="thin">
        <color rgb="FF1B2F5C"/>
      </bottom>
    </border>
    <border>
      <left style="medium">
        <color rgb="FF1B2F5C"/>
      </lef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  <border>
      <right/>
      <top style="thin">
        <color rgb="FFDEE2E6"/>
      </top>
      <bottom style="thin">
        <color rgb="FFDEE2E6"/>
      </bottom>
    </border>
    <border>
      <left style="medium">
        <color rgb="FFFFCD28"/>
      </left>
      <right style="thin">
        <color rgb="FFFFCD28"/>
      </right>
      <top style="thin">
        <color rgb="FFFFCD28"/>
      </top>
      <bottom style="thin">
        <color rgb="FFFFCD28"/>
      </bottom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</border>
    <border>
      <left style="thin">
        <color rgb="FFFFCD28"/>
      </left>
      <right style="thin">
        <color rgb="FFFFCD28"/>
      </right>
      <top style="thin">
        <color rgb="FFFFCD28"/>
      </top>
      <bottom style="thin">
        <color rgb="FFFFCD28"/>
      </bottom>
    </border>
    <border>
      <left style="thin">
        <color rgb="FF1B2F5C"/>
      </left>
      <top style="thin">
        <color rgb="FF1B2F5C"/>
      </top>
      <bottom style="thin">
        <color rgb="FF1B2F5C"/>
      </bottom>
    </border>
    <border>
      <top style="thin">
        <color rgb="FF1B2F5C"/>
      </top>
      <bottom style="thin">
        <color rgb="FF1B2F5C"/>
      </bottom>
    </border>
    <border>
      <right style="thin">
        <color rgb="FF1B2F5C"/>
      </right>
      <top style="thin">
        <color rgb="FF1B2F5C"/>
      </top>
      <bottom style="thin">
        <color rgb="FF1B2F5C"/>
      </bottom>
    </border>
    <border>
      <right/>
      <top style="thin">
        <color rgb="FF1B2F5C"/>
      </top>
      <bottom style="thin">
        <color rgb="FF1B2F5C"/>
      </bottom>
    </border>
    <border>
      <left style="medium">
        <color rgb="FF4B1F8C"/>
      </left>
      <top style="thin">
        <color rgb="FFDEE2E6"/>
      </top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left style="thin">
        <color rgb="FFCED4DA"/>
      </left>
      <top style="thin">
        <color rgb="FFCED4DA"/>
      </top>
      <bottom style="thin">
        <color rgb="FFCED4DA"/>
      </bottom>
    </border>
    <border>
      <right style="thin">
        <color rgb="FFCED4DA"/>
      </right>
      <top style="thin">
        <color rgb="FFCED4DA"/>
      </top>
      <bottom style="thin">
        <color rgb="FFCED4DA"/>
      </bottom>
    </border>
    <border>
      <right/>
      <top style="thin">
        <color rgb="FFCED4DA"/>
      </top>
      <bottom style="thin">
        <color rgb="FFCED4DA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8" fillId="4" fontId="7" numFmtId="0" xfId="0" applyAlignment="1" applyBorder="1" applyFont="1">
      <alignment horizontal="center" shrinkToFit="0" vertical="center" wrapText="1"/>
    </xf>
    <xf borderId="8" fillId="4" fontId="8" numFmtId="0" xfId="0" applyAlignment="1" applyBorder="1" applyFont="1">
      <alignment horizontal="left" shrinkToFit="0" vertical="center" wrapText="1"/>
    </xf>
    <xf borderId="9" fillId="6" fontId="9" numFmtId="0" xfId="0" applyAlignment="1" applyBorder="1" applyFill="1" applyFont="1">
      <alignment horizontal="left" shrinkToFit="0" vertical="center" wrapText="1"/>
    </xf>
    <xf borderId="10" fillId="7" fontId="10" numFmtId="0" xfId="0" applyAlignment="1" applyBorder="1" applyFill="1" applyFont="1">
      <alignment horizontal="left" shrinkToFit="0" vertical="center" wrapText="1"/>
    </xf>
    <xf borderId="9" fillId="6" fontId="11" numFmtId="0" xfId="0" applyAlignment="1" applyBorder="1" applyFont="1">
      <alignment horizontal="left" shrinkToFit="0" vertical="center" wrapText="1"/>
    </xf>
    <xf borderId="9" fillId="6" fontId="12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left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11" fillId="8" fontId="14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9" fillId="9" fontId="15" numFmtId="0" xfId="0" applyAlignment="1" applyBorder="1" applyFill="1" applyFont="1">
      <alignment horizontal="center" shrinkToFit="0" vertical="center" wrapText="1"/>
    </xf>
    <xf borderId="9" fillId="9" fontId="15" numFmtId="0" xfId="0" applyAlignment="1" applyBorder="1" applyFont="1">
      <alignment horizontal="left" shrinkToFit="0" vertical="center" wrapText="1"/>
    </xf>
    <xf borderId="9" fillId="9" fontId="15" numFmtId="164" xfId="0" applyAlignment="1" applyBorder="1" applyFont="1" applyNumberFormat="1">
      <alignment horizontal="center" shrinkToFit="0" vertical="center" wrapText="1"/>
    </xf>
    <xf borderId="9" fillId="9" fontId="16" numFmtId="165" xfId="0" applyAlignment="1" applyBorder="1" applyFont="1" applyNumberFormat="1">
      <alignment horizontal="center" shrinkToFit="0" vertical="center" wrapText="1"/>
    </xf>
    <xf borderId="9" fillId="6" fontId="15" numFmtId="0" xfId="0" applyAlignment="1" applyBorder="1" applyFont="1">
      <alignment horizontal="center" shrinkToFit="0" vertical="center" wrapText="1"/>
    </xf>
    <xf borderId="9" fillId="6" fontId="15" numFmtId="0" xfId="0" applyAlignment="1" applyBorder="1" applyFont="1">
      <alignment horizontal="left" shrinkToFit="0" vertical="center" wrapText="1"/>
    </xf>
    <xf borderId="9" fillId="6" fontId="15" numFmtId="164" xfId="0" applyAlignment="1" applyBorder="1" applyFont="1" applyNumberFormat="1">
      <alignment horizontal="center" shrinkToFit="0" vertical="center" wrapText="1"/>
    </xf>
    <xf borderId="9" fillId="6" fontId="16" numFmtId="165" xfId="0" applyAlignment="1" applyBorder="1" applyFont="1" applyNumberFormat="1">
      <alignment horizontal="center" shrinkToFit="0" vertical="center" wrapText="1"/>
    </xf>
    <xf borderId="9" fillId="9" fontId="17" numFmtId="0" xfId="0" applyAlignment="1" applyBorder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9" fillId="6" fontId="16" numFmtId="164" xfId="0" applyAlignment="1" applyBorder="1" applyFont="1" applyNumberFormat="1">
      <alignment horizontal="center" shrinkToFit="0" vertical="center" wrapText="1"/>
    </xf>
    <xf borderId="9" fillId="9" fontId="16" numFmtId="164" xfId="0" applyAlignment="1" applyBorder="1" applyFont="1" applyNumberFormat="1">
      <alignment horizontal="center" shrinkToFit="0" vertical="center" wrapText="1"/>
    </xf>
    <xf borderId="11" fillId="2" fontId="5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4" fillId="2" fontId="18" numFmtId="0" xfId="0" applyAlignment="1" applyBorder="1" applyFont="1">
      <alignment shrinkToFit="0" vertical="bottom" wrapText="0"/>
    </xf>
    <xf borderId="4" fillId="2" fontId="19" numFmtId="164" xfId="0" applyAlignment="1" applyBorder="1" applyFont="1" applyNumberFormat="1">
      <alignment horizontal="center" shrinkToFit="0" vertical="center" wrapText="1"/>
    </xf>
    <xf borderId="9" fillId="10" fontId="15" numFmtId="0" xfId="0" applyAlignment="1" applyBorder="1" applyFill="1" applyFont="1">
      <alignment horizontal="center" shrinkToFit="0" vertical="center" wrapText="1"/>
    </xf>
    <xf borderId="9" fillId="10" fontId="15" numFmtId="0" xfId="0" applyAlignment="1" applyBorder="1" applyFont="1">
      <alignment horizontal="left" shrinkToFit="0" vertical="center" wrapText="1"/>
    </xf>
    <xf borderId="9" fillId="10" fontId="15" numFmtId="164" xfId="0" applyAlignment="1" applyBorder="1" applyFont="1" applyNumberFormat="1">
      <alignment horizontal="center" shrinkToFit="0" vertical="center" wrapText="1"/>
    </xf>
    <xf borderId="9" fillId="11" fontId="15" numFmtId="0" xfId="0" applyAlignment="1" applyBorder="1" applyFill="1" applyFont="1">
      <alignment horizontal="center" shrinkToFit="0" vertical="center" wrapText="1"/>
    </xf>
    <xf borderId="9" fillId="11" fontId="15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center" shrinkToFit="0" vertical="center" wrapText="1"/>
    </xf>
    <xf borderId="5" fillId="12" fontId="20" numFmtId="0" xfId="0" applyAlignment="1" applyBorder="1" applyFill="1" applyFont="1">
      <alignment horizontal="left" shrinkToFit="0" vertical="center" wrapText="0"/>
    </xf>
    <xf borderId="15" fillId="12" fontId="21" numFmtId="0" xfId="0" applyAlignment="1" applyBorder="1" applyFont="1">
      <alignment horizontal="left" shrinkToFit="0" vertical="center" wrapText="1"/>
    </xf>
    <xf borderId="16" fillId="13" fontId="10" numFmtId="0" xfId="0" applyAlignment="1" applyBorder="1" applyFill="1" applyFont="1">
      <alignment horizontal="left" shrinkToFit="0" vertical="center" wrapText="1"/>
    </xf>
    <xf borderId="9" fillId="9" fontId="17" numFmtId="0" xfId="0" applyAlignment="1" applyBorder="1" applyFont="1">
      <alignment horizontal="left" shrinkToFit="0" vertical="center" wrapText="1"/>
    </xf>
    <xf borderId="9" fillId="6" fontId="17" numFmtId="0" xfId="0" applyAlignment="1" applyBorder="1" applyFont="1">
      <alignment horizontal="left" shrinkToFit="0" vertical="center" wrapText="1"/>
    </xf>
    <xf borderId="9" fillId="9" fontId="15" numFmtId="9" xfId="0" applyAlignment="1" applyBorder="1" applyFont="1" applyNumberFormat="1">
      <alignment horizontal="center" shrinkToFit="0" vertical="center" wrapText="1"/>
    </xf>
    <xf borderId="9" fillId="6" fontId="15" numFmtId="9" xfId="0" applyAlignment="1" applyBorder="1" applyFont="1" applyNumberFormat="1">
      <alignment horizontal="center" shrinkToFit="0" vertical="center" wrapText="1"/>
    </xf>
    <xf borderId="9" fillId="9" fontId="16" numFmtId="0" xfId="0" applyAlignment="1" applyBorder="1" applyFont="1">
      <alignment horizontal="center" shrinkToFit="0" vertical="center" wrapText="1"/>
    </xf>
    <xf borderId="9" fillId="6" fontId="22" numFmtId="0" xfId="0" applyAlignment="1" applyBorder="1" applyFont="1">
      <alignment horizontal="center" shrinkToFit="0" vertical="center" wrapText="1"/>
    </xf>
    <xf borderId="9" fillId="6" fontId="16" numFmtId="0" xfId="0" applyAlignment="1" applyBorder="1" applyFont="1">
      <alignment horizontal="center" shrinkToFit="0" vertical="center" wrapText="1"/>
    </xf>
    <xf borderId="9" fillId="9" fontId="22" numFmtId="0" xfId="0" applyAlignment="1" applyBorder="1" applyFont="1">
      <alignment horizontal="center" shrinkToFit="0" vertical="center" wrapText="1"/>
    </xf>
    <xf borderId="9" fillId="4" fontId="15" numFmtId="0" xfId="0" applyAlignment="1" applyBorder="1" applyFont="1">
      <alignment horizontal="center" shrinkToFit="0" vertical="center" wrapText="1"/>
    </xf>
    <xf borderId="9" fillId="4" fontId="15" numFmtId="0" xfId="0" applyAlignment="1" applyBorder="1" applyFont="1">
      <alignment horizontal="left" shrinkToFit="0" vertical="center" wrapText="1"/>
    </xf>
    <xf borderId="9" fillId="4" fontId="23" numFmtId="0" xfId="0" applyAlignment="1" applyBorder="1" applyFont="1">
      <alignment horizontal="left" shrinkToFit="0" vertical="center" wrapText="1"/>
    </xf>
    <xf borderId="9" fillId="9" fontId="24" numFmtId="0" xfId="0" applyAlignment="1" applyBorder="1" applyFont="1">
      <alignment horizontal="center" shrinkToFit="0" vertical="center" wrapText="1"/>
    </xf>
    <xf borderId="9" fillId="9" fontId="25" numFmtId="0" xfId="0" applyAlignment="1" applyBorder="1" applyFont="1">
      <alignment horizontal="center" shrinkToFit="0" vertical="center" wrapText="1"/>
    </xf>
    <xf borderId="9" fillId="9" fontId="8" numFmtId="0" xfId="0" applyAlignment="1" applyBorder="1" applyFont="1">
      <alignment horizontal="left" shrinkToFit="0" vertical="center" wrapText="1"/>
    </xf>
    <xf borderId="9" fillId="6" fontId="26" numFmtId="0" xfId="0" applyAlignment="1" applyBorder="1" applyFont="1">
      <alignment horizontal="left" shrinkToFit="0" vertical="center" wrapText="1"/>
    </xf>
    <xf borderId="9" fillId="6" fontId="11" numFmtId="0" xfId="0" applyAlignment="1" applyBorder="1" applyFont="1">
      <alignment horizontal="center" shrinkToFit="0" vertical="center" wrapText="1"/>
    </xf>
    <xf borderId="9" fillId="6" fontId="24" numFmtId="0" xfId="0" applyAlignment="1" applyBorder="1" applyFont="1">
      <alignment horizontal="center" shrinkToFit="0" vertical="center" wrapText="1"/>
    </xf>
    <xf borderId="9" fillId="6" fontId="25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left" shrinkToFit="0" vertical="center" wrapText="1"/>
    </xf>
    <xf borderId="9" fillId="11" fontId="27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7" fillId="5" fontId="28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9" fillId="6" fontId="18" numFmtId="0" xfId="0" applyAlignment="1" applyBorder="1" applyFont="1">
      <alignment shrinkToFit="0" vertical="bottom" wrapText="0"/>
    </xf>
    <xf borderId="17" fillId="6" fontId="29" numFmtId="0" xfId="0" applyAlignment="1" applyBorder="1" applyFont="1">
      <alignment horizontal="left" shrinkToFit="0" vertical="center" wrapText="1"/>
    </xf>
    <xf borderId="19" fillId="0" fontId="2" numFmtId="0" xfId="0" applyBorder="1" applyFont="1"/>
    <xf borderId="4" fillId="14" fontId="14" numFmtId="0" xfId="0" applyAlignment="1" applyBorder="1" applyFill="1" applyFont="1">
      <alignment horizontal="center" shrinkToFit="0" vertical="center" wrapText="1"/>
    </xf>
    <xf borderId="4" fillId="15" fontId="1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107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3" width="30.0"/>
    <col customWidth="1" min="4" max="4" width="40.0"/>
    <col customWidth="1" min="5" max="5" width="24.0"/>
    <col customWidth="1" min="6" max="6" width="35.0"/>
    <col customWidth="1" min="7" max="26" width="8.71"/>
  </cols>
  <sheetData>
    <row r="1" ht="6.0" customHeight="1"/>
    <row r="2" ht="39.75" customHeight="1">
      <c r="A2" s="1" t="s">
        <v>0</v>
      </c>
      <c r="B2" s="2"/>
      <c r="C2" s="2"/>
      <c r="D2" s="2"/>
      <c r="E2" s="2"/>
      <c r="F2" s="3"/>
    </row>
    <row r="3" ht="19.5" customHeight="1">
      <c r="A3" s="4" t="s">
        <v>1</v>
      </c>
      <c r="B3" s="2"/>
      <c r="C3" s="2"/>
      <c r="D3" s="2"/>
      <c r="E3" s="2"/>
      <c r="F3" s="3"/>
    </row>
    <row r="4" ht="19.5" customHeight="1">
      <c r="A4" s="5" t="s">
        <v>2</v>
      </c>
      <c r="B4" s="2"/>
      <c r="C4" s="2"/>
      <c r="D4" s="2"/>
      <c r="E4" s="2"/>
      <c r="F4" s="3"/>
    </row>
    <row r="6" ht="21.75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ht="18.0" customHeight="1">
      <c r="A7" s="7" t="s">
        <v>9</v>
      </c>
      <c r="B7" s="8"/>
      <c r="C7" s="8"/>
      <c r="D7" s="8"/>
      <c r="E7" s="8"/>
      <c r="F7" s="9"/>
    </row>
    <row r="8" ht="21.75" customHeight="1">
      <c r="A8" s="10">
        <v>1.0</v>
      </c>
      <c r="B8" s="11" t="s">
        <v>10</v>
      </c>
      <c r="C8" s="12" t="s">
        <v>11</v>
      </c>
      <c r="D8" s="13" t="s">
        <v>12</v>
      </c>
      <c r="E8" s="14" t="s">
        <v>13</v>
      </c>
      <c r="F8" s="15" t="s">
        <v>14</v>
      </c>
    </row>
    <row r="9" ht="21.75" customHeight="1">
      <c r="A9" s="10">
        <v>2.0</v>
      </c>
      <c r="B9" s="11" t="s">
        <v>15</v>
      </c>
      <c r="C9" s="12" t="s">
        <v>11</v>
      </c>
      <c r="D9" s="13" t="s">
        <v>16</v>
      </c>
      <c r="E9" s="14" t="s">
        <v>13</v>
      </c>
      <c r="F9" s="15" t="s">
        <v>17</v>
      </c>
    </row>
    <row r="10" ht="21.75" customHeight="1">
      <c r="A10" s="10">
        <v>3.0</v>
      </c>
      <c r="B10" s="11" t="s">
        <v>18</v>
      </c>
      <c r="C10" s="12" t="s">
        <v>19</v>
      </c>
      <c r="D10" s="13" t="s">
        <v>20</v>
      </c>
      <c r="E10" s="14" t="s">
        <v>13</v>
      </c>
      <c r="F10" s="15" t="s">
        <v>21</v>
      </c>
    </row>
    <row r="11" ht="21.75" customHeight="1">
      <c r="A11" s="10">
        <v>4.0</v>
      </c>
      <c r="B11" s="11" t="s">
        <v>22</v>
      </c>
      <c r="C11" s="12" t="s">
        <v>23</v>
      </c>
      <c r="D11" s="13" t="s">
        <v>24</v>
      </c>
      <c r="E11" s="14" t="s">
        <v>13</v>
      </c>
      <c r="F11" s="15" t="s">
        <v>25</v>
      </c>
    </row>
    <row r="12" ht="21.75" customHeight="1">
      <c r="A12" s="10">
        <v>5.0</v>
      </c>
      <c r="B12" s="11" t="s">
        <v>26</v>
      </c>
      <c r="C12" s="12" t="s">
        <v>27</v>
      </c>
      <c r="D12" s="13" t="s">
        <v>28</v>
      </c>
      <c r="E12" s="14" t="s">
        <v>13</v>
      </c>
      <c r="F12" s="15" t="s">
        <v>29</v>
      </c>
    </row>
    <row r="13" ht="18.0" customHeight="1">
      <c r="A13" s="7" t="s">
        <v>30</v>
      </c>
      <c r="B13" s="8"/>
      <c r="C13" s="8"/>
      <c r="D13" s="8"/>
      <c r="E13" s="8"/>
      <c r="F13" s="9"/>
    </row>
    <row r="14" ht="21.75" customHeight="1">
      <c r="A14" s="10">
        <v>6.0</v>
      </c>
      <c r="B14" s="11" t="s">
        <v>31</v>
      </c>
      <c r="C14" s="12" t="s">
        <v>23</v>
      </c>
      <c r="D14" s="13" t="s">
        <v>32</v>
      </c>
      <c r="E14" s="14" t="s">
        <v>13</v>
      </c>
      <c r="F14" s="15" t="s">
        <v>33</v>
      </c>
    </row>
    <row r="15" ht="21.75" customHeight="1">
      <c r="A15" s="10">
        <v>7.0</v>
      </c>
      <c r="B15" s="11" t="s">
        <v>34</v>
      </c>
      <c r="C15" s="12" t="s">
        <v>23</v>
      </c>
      <c r="D15" s="13" t="s">
        <v>35</v>
      </c>
      <c r="E15" s="14" t="s">
        <v>13</v>
      </c>
      <c r="F15" s="15" t="s">
        <v>36</v>
      </c>
    </row>
    <row r="16" ht="21.75" customHeight="1">
      <c r="A16" s="10">
        <v>8.0</v>
      </c>
      <c r="B16" s="11" t="s">
        <v>37</v>
      </c>
      <c r="C16" s="12" t="s">
        <v>23</v>
      </c>
      <c r="D16" s="13" t="s">
        <v>38</v>
      </c>
      <c r="E16" s="14" t="s">
        <v>13</v>
      </c>
      <c r="F16" s="15" t="s">
        <v>39</v>
      </c>
    </row>
    <row r="17" ht="21.75" customHeight="1">
      <c r="A17" s="10">
        <v>9.0</v>
      </c>
      <c r="B17" s="11" t="s">
        <v>40</v>
      </c>
      <c r="C17" s="12" t="s">
        <v>23</v>
      </c>
      <c r="D17" s="13" t="s">
        <v>20</v>
      </c>
      <c r="E17" s="14" t="s">
        <v>13</v>
      </c>
      <c r="F17" s="15" t="s">
        <v>41</v>
      </c>
    </row>
    <row r="18" ht="21.75" customHeight="1">
      <c r="A18" s="10">
        <v>10.0</v>
      </c>
      <c r="B18" s="11" t="s">
        <v>42</v>
      </c>
      <c r="C18" s="12" t="s">
        <v>23</v>
      </c>
      <c r="D18" s="13" t="s">
        <v>38</v>
      </c>
      <c r="E18" s="14" t="s">
        <v>13</v>
      </c>
      <c r="F18" s="15" t="s">
        <v>43</v>
      </c>
    </row>
    <row r="19" ht="18.0" customHeight="1">
      <c r="A19" s="7" t="s">
        <v>44</v>
      </c>
      <c r="B19" s="8"/>
      <c r="C19" s="8"/>
      <c r="D19" s="8"/>
      <c r="E19" s="8"/>
      <c r="F19" s="9"/>
    </row>
    <row r="20" ht="21.75" customHeight="1">
      <c r="A20" s="10">
        <v>11.0</v>
      </c>
      <c r="B20" s="11" t="s">
        <v>45</v>
      </c>
      <c r="C20" s="12" t="s">
        <v>46</v>
      </c>
      <c r="D20" s="13" t="s">
        <v>38</v>
      </c>
      <c r="E20" s="14" t="s">
        <v>13</v>
      </c>
      <c r="F20" s="15" t="s">
        <v>47</v>
      </c>
    </row>
    <row r="21" ht="21.75" customHeight="1">
      <c r="A21" s="10">
        <v>12.0</v>
      </c>
      <c r="B21" s="11" t="s">
        <v>48</v>
      </c>
      <c r="C21" s="12" t="s">
        <v>46</v>
      </c>
      <c r="D21" s="13" t="s">
        <v>49</v>
      </c>
      <c r="E21" s="14" t="s">
        <v>50</v>
      </c>
      <c r="F21" s="15" t="s">
        <v>51</v>
      </c>
    </row>
    <row r="22" ht="21.75" customHeight="1">
      <c r="A22" s="10">
        <v>13.0</v>
      </c>
      <c r="B22" s="11" t="s">
        <v>52</v>
      </c>
      <c r="C22" s="12" t="s">
        <v>46</v>
      </c>
      <c r="D22" s="13" t="s">
        <v>53</v>
      </c>
      <c r="E22" s="14" t="s">
        <v>50</v>
      </c>
      <c r="F22" s="15" t="s">
        <v>54</v>
      </c>
    </row>
    <row r="23" ht="21.75" customHeight="1">
      <c r="A23" s="10">
        <v>14.0</v>
      </c>
      <c r="B23" s="11" t="s">
        <v>55</v>
      </c>
      <c r="C23" s="12" t="s">
        <v>46</v>
      </c>
      <c r="D23" s="13" t="s">
        <v>56</v>
      </c>
      <c r="E23" s="14" t="s">
        <v>50</v>
      </c>
      <c r="F23" s="15" t="s">
        <v>57</v>
      </c>
    </row>
    <row r="24" ht="21.75" customHeight="1">
      <c r="A24" s="10">
        <v>15.0</v>
      </c>
      <c r="B24" s="11" t="s">
        <v>58</v>
      </c>
      <c r="C24" s="12" t="s">
        <v>46</v>
      </c>
      <c r="D24" s="13" t="s">
        <v>59</v>
      </c>
      <c r="E24" s="14" t="s">
        <v>13</v>
      </c>
      <c r="F24" s="15" t="s">
        <v>60</v>
      </c>
    </row>
    <row r="25" ht="21.75" customHeight="1">
      <c r="A25" s="10">
        <v>16.0</v>
      </c>
      <c r="B25" s="11" t="s">
        <v>61</v>
      </c>
      <c r="C25" s="12" t="s">
        <v>46</v>
      </c>
      <c r="D25" s="13" t="s">
        <v>59</v>
      </c>
      <c r="E25" s="14" t="s">
        <v>13</v>
      </c>
      <c r="F25" s="15" t="s">
        <v>62</v>
      </c>
    </row>
    <row r="26" ht="21.75" customHeight="1">
      <c r="A26" s="10">
        <v>17.0</v>
      </c>
      <c r="B26" s="11" t="s">
        <v>63</v>
      </c>
      <c r="C26" s="12" t="s">
        <v>46</v>
      </c>
      <c r="D26" s="13" t="s">
        <v>59</v>
      </c>
      <c r="E26" s="14" t="s">
        <v>13</v>
      </c>
      <c r="F26" s="15" t="s">
        <v>64</v>
      </c>
    </row>
    <row r="27" ht="21.75" customHeight="1">
      <c r="A27" s="10">
        <v>18.0</v>
      </c>
      <c r="B27" s="11" t="s">
        <v>65</v>
      </c>
      <c r="C27" s="12" t="s">
        <v>46</v>
      </c>
      <c r="D27" s="13" t="s">
        <v>59</v>
      </c>
      <c r="E27" s="14" t="s">
        <v>13</v>
      </c>
      <c r="F27" s="15" t="s">
        <v>66</v>
      </c>
    </row>
    <row r="28" ht="18.0" customHeight="1">
      <c r="A28" s="7" t="s">
        <v>67</v>
      </c>
      <c r="B28" s="8"/>
      <c r="C28" s="8"/>
      <c r="D28" s="8"/>
      <c r="E28" s="8"/>
      <c r="F28" s="9"/>
    </row>
    <row r="29" ht="21.75" customHeight="1">
      <c r="A29" s="10">
        <v>19.0</v>
      </c>
      <c r="B29" s="11" t="s">
        <v>68</v>
      </c>
      <c r="C29" s="12" t="s">
        <v>69</v>
      </c>
      <c r="D29" s="13" t="s">
        <v>70</v>
      </c>
      <c r="E29" s="14" t="s">
        <v>71</v>
      </c>
      <c r="F29" s="15" t="s">
        <v>72</v>
      </c>
    </row>
    <row r="30" ht="21.75" customHeight="1">
      <c r="A30" s="10">
        <v>20.0</v>
      </c>
      <c r="B30" s="11" t="s">
        <v>73</v>
      </c>
      <c r="C30" s="12" t="s">
        <v>74</v>
      </c>
      <c r="D30" s="13" t="s">
        <v>75</v>
      </c>
      <c r="E30" s="14" t="s">
        <v>76</v>
      </c>
      <c r="F30" s="15" t="s">
        <v>77</v>
      </c>
    </row>
    <row r="31" ht="21.75" customHeight="1">
      <c r="A31" s="10">
        <v>21.0</v>
      </c>
      <c r="B31" s="11" t="s">
        <v>78</v>
      </c>
      <c r="C31" s="12" t="s">
        <v>74</v>
      </c>
      <c r="D31" s="13" t="s">
        <v>79</v>
      </c>
      <c r="E31" s="14" t="s">
        <v>80</v>
      </c>
      <c r="F31" s="15" t="s">
        <v>81</v>
      </c>
    </row>
    <row r="32" ht="21.75" customHeight="1">
      <c r="A32" s="10">
        <v>22.0</v>
      </c>
      <c r="B32" s="11" t="s">
        <v>82</v>
      </c>
      <c r="C32" s="12" t="s">
        <v>83</v>
      </c>
      <c r="D32" s="13" t="s">
        <v>84</v>
      </c>
      <c r="E32" s="14" t="s">
        <v>80</v>
      </c>
      <c r="F32" s="15" t="s">
        <v>85</v>
      </c>
    </row>
    <row r="33" ht="21.75" customHeight="1">
      <c r="A33" s="10">
        <v>23.0</v>
      </c>
      <c r="B33" s="11" t="s">
        <v>86</v>
      </c>
      <c r="C33" s="12" t="s">
        <v>83</v>
      </c>
      <c r="D33" s="13" t="s">
        <v>87</v>
      </c>
      <c r="E33" s="14" t="s">
        <v>80</v>
      </c>
      <c r="F33" s="15" t="s">
        <v>88</v>
      </c>
    </row>
    <row r="34" ht="18.0" customHeight="1">
      <c r="A34" s="7" t="s">
        <v>89</v>
      </c>
      <c r="B34" s="8"/>
      <c r="C34" s="8"/>
      <c r="D34" s="8"/>
      <c r="E34" s="8"/>
      <c r="F34" s="9"/>
    </row>
    <row r="35" ht="21.75" customHeight="1">
      <c r="A35" s="10">
        <v>24.0</v>
      </c>
      <c r="B35" s="11" t="s">
        <v>90</v>
      </c>
      <c r="C35" s="12" t="s">
        <v>91</v>
      </c>
      <c r="D35" s="13" t="s">
        <v>92</v>
      </c>
      <c r="E35" s="14" t="s">
        <v>13</v>
      </c>
      <c r="F35" s="15" t="s">
        <v>93</v>
      </c>
    </row>
    <row r="36" ht="21.75" customHeight="1">
      <c r="A36" s="10">
        <v>25.0</v>
      </c>
      <c r="B36" s="11" t="s">
        <v>94</v>
      </c>
      <c r="C36" s="12" t="s">
        <v>91</v>
      </c>
      <c r="D36" s="13" t="s">
        <v>95</v>
      </c>
      <c r="E36" s="14" t="s">
        <v>13</v>
      </c>
      <c r="F36" s="15" t="s">
        <v>96</v>
      </c>
    </row>
    <row r="37" ht="21.75" customHeight="1">
      <c r="A37" s="10">
        <v>26.0</v>
      </c>
      <c r="B37" s="11" t="s">
        <v>97</v>
      </c>
      <c r="C37" s="12" t="s">
        <v>91</v>
      </c>
      <c r="D37" s="13" t="s">
        <v>38</v>
      </c>
      <c r="E37" s="14" t="s">
        <v>80</v>
      </c>
      <c r="F37" s="15" t="s">
        <v>98</v>
      </c>
    </row>
    <row r="38" ht="21.75" customHeight="1">
      <c r="A38" s="10">
        <v>27.0</v>
      </c>
      <c r="B38" s="11" t="s">
        <v>99</v>
      </c>
      <c r="C38" s="12" t="s">
        <v>100</v>
      </c>
      <c r="D38" s="13" t="s">
        <v>101</v>
      </c>
      <c r="E38" s="14" t="s">
        <v>80</v>
      </c>
      <c r="F38" s="15" t="s">
        <v>102</v>
      </c>
    </row>
    <row r="39" ht="21.75" customHeight="1">
      <c r="A39" s="10">
        <v>28.0</v>
      </c>
      <c r="B39" s="11" t="s">
        <v>103</v>
      </c>
      <c r="C39" s="12" t="s">
        <v>100</v>
      </c>
      <c r="D39" s="13" t="s">
        <v>104</v>
      </c>
      <c r="E39" s="14" t="s">
        <v>80</v>
      </c>
      <c r="F39" s="15" t="s">
        <v>105</v>
      </c>
    </row>
    <row r="40" ht="18.0" customHeight="1">
      <c r="A40" s="7" t="s">
        <v>106</v>
      </c>
      <c r="B40" s="8"/>
      <c r="C40" s="8"/>
      <c r="D40" s="8"/>
      <c r="E40" s="8"/>
      <c r="F40" s="9"/>
    </row>
    <row r="41" ht="21.75" customHeight="1">
      <c r="A41" s="10">
        <v>29.0</v>
      </c>
      <c r="B41" s="11" t="s">
        <v>107</v>
      </c>
      <c r="C41" s="12" t="s">
        <v>108</v>
      </c>
      <c r="D41" s="13" t="s">
        <v>109</v>
      </c>
      <c r="E41" s="14" t="s">
        <v>110</v>
      </c>
      <c r="F41" s="15" t="s">
        <v>111</v>
      </c>
    </row>
    <row r="42" ht="21.75" customHeight="1">
      <c r="A42" s="10">
        <v>30.0</v>
      </c>
      <c r="B42" s="11" t="s">
        <v>112</v>
      </c>
      <c r="C42" s="12" t="s">
        <v>113</v>
      </c>
      <c r="D42" s="13" t="s">
        <v>114</v>
      </c>
      <c r="E42" s="14" t="s">
        <v>110</v>
      </c>
      <c r="F42" s="15" t="s">
        <v>115</v>
      </c>
    </row>
    <row r="43" ht="21.75" customHeight="1">
      <c r="A43" s="10">
        <v>31.0</v>
      </c>
      <c r="B43" s="11" t="s">
        <v>116</v>
      </c>
      <c r="C43" s="12" t="s">
        <v>117</v>
      </c>
      <c r="D43" s="13" t="s">
        <v>118</v>
      </c>
      <c r="E43" s="14" t="s">
        <v>80</v>
      </c>
      <c r="F43" s="15" t="s">
        <v>119</v>
      </c>
    </row>
    <row r="44" ht="21.75" customHeight="1">
      <c r="A44" s="10">
        <v>32.0</v>
      </c>
      <c r="B44" s="11" t="s">
        <v>120</v>
      </c>
      <c r="C44" s="12" t="s">
        <v>121</v>
      </c>
      <c r="D44" s="13" t="s">
        <v>38</v>
      </c>
      <c r="E44" s="14" t="s">
        <v>80</v>
      </c>
      <c r="F44" s="15" t="s">
        <v>122</v>
      </c>
    </row>
    <row r="45" ht="21.75" customHeight="1">
      <c r="A45" s="10">
        <v>33.0</v>
      </c>
      <c r="B45" s="11" t="s">
        <v>123</v>
      </c>
      <c r="C45" s="12" t="s">
        <v>121</v>
      </c>
      <c r="D45" s="13" t="s">
        <v>124</v>
      </c>
      <c r="E45" s="14" t="s">
        <v>80</v>
      </c>
      <c r="F45" s="15" t="s">
        <v>125</v>
      </c>
    </row>
    <row r="46" ht="21.75" customHeight="1">
      <c r="A46" s="10">
        <v>34.0</v>
      </c>
      <c r="B46" s="11" t="s">
        <v>126</v>
      </c>
      <c r="C46" s="12" t="s">
        <v>121</v>
      </c>
      <c r="D46" s="13" t="s">
        <v>127</v>
      </c>
      <c r="E46" s="14" t="s">
        <v>80</v>
      </c>
      <c r="F46" s="15" t="s">
        <v>125</v>
      </c>
    </row>
    <row r="47" ht="21.75" customHeight="1">
      <c r="A47" s="10">
        <v>35.0</v>
      </c>
      <c r="B47" s="11" t="s">
        <v>128</v>
      </c>
      <c r="C47" s="12" t="s">
        <v>108</v>
      </c>
      <c r="D47" s="13" t="s">
        <v>129</v>
      </c>
      <c r="E47" s="14" t="s">
        <v>80</v>
      </c>
      <c r="F47" s="15" t="s">
        <v>130</v>
      </c>
    </row>
    <row r="48" ht="18.0" customHeight="1">
      <c r="A48" s="7" t="s">
        <v>131</v>
      </c>
      <c r="B48" s="8"/>
      <c r="C48" s="8"/>
      <c r="D48" s="8"/>
      <c r="E48" s="8"/>
      <c r="F48" s="9"/>
    </row>
    <row r="49" ht="21.75" customHeight="1">
      <c r="A49" s="10">
        <v>36.0</v>
      </c>
      <c r="B49" s="11" t="s">
        <v>132</v>
      </c>
      <c r="C49" s="12" t="s">
        <v>133</v>
      </c>
      <c r="D49" s="13" t="s">
        <v>134</v>
      </c>
      <c r="E49" s="14" t="s">
        <v>135</v>
      </c>
      <c r="F49" s="15" t="s">
        <v>136</v>
      </c>
    </row>
    <row r="50" ht="21.75" customHeight="1">
      <c r="A50" s="10">
        <v>37.0</v>
      </c>
      <c r="B50" s="11" t="s">
        <v>137</v>
      </c>
      <c r="C50" s="12" t="s">
        <v>138</v>
      </c>
      <c r="D50" s="13" t="s">
        <v>139</v>
      </c>
      <c r="E50" s="14" t="s">
        <v>135</v>
      </c>
      <c r="F50" s="15" t="s">
        <v>140</v>
      </c>
    </row>
    <row r="51" ht="21.75" customHeight="1">
      <c r="A51" s="10">
        <v>38.0</v>
      </c>
      <c r="B51" s="11" t="s">
        <v>141</v>
      </c>
      <c r="C51" s="12" t="s">
        <v>142</v>
      </c>
      <c r="D51" s="13" t="s">
        <v>143</v>
      </c>
      <c r="E51" s="14" t="s">
        <v>13</v>
      </c>
      <c r="F51" s="15" t="s">
        <v>144</v>
      </c>
    </row>
    <row r="52" ht="21.75" customHeight="1">
      <c r="A52" s="10">
        <v>39.0</v>
      </c>
      <c r="B52" s="11" t="s">
        <v>145</v>
      </c>
      <c r="C52" s="12" t="s">
        <v>146</v>
      </c>
      <c r="D52" s="13" t="s">
        <v>147</v>
      </c>
      <c r="E52" s="14" t="s">
        <v>13</v>
      </c>
      <c r="F52" s="15" t="s">
        <v>148</v>
      </c>
    </row>
    <row r="53" ht="21.75" customHeight="1">
      <c r="A53" s="10">
        <v>40.0</v>
      </c>
      <c r="B53" s="11" t="s">
        <v>149</v>
      </c>
      <c r="C53" s="12" t="s">
        <v>150</v>
      </c>
      <c r="D53" s="13" t="s">
        <v>151</v>
      </c>
      <c r="E53" s="14" t="s">
        <v>80</v>
      </c>
      <c r="F53" s="15" t="s">
        <v>152</v>
      </c>
    </row>
    <row r="54" ht="21.75" customHeight="1">
      <c r="A54" s="10">
        <v>41.0</v>
      </c>
      <c r="B54" s="11" t="s">
        <v>153</v>
      </c>
      <c r="C54" s="12" t="s">
        <v>154</v>
      </c>
      <c r="D54" s="13" t="s">
        <v>155</v>
      </c>
      <c r="E54" s="14" t="s">
        <v>80</v>
      </c>
      <c r="F54" s="15" t="s">
        <v>156</v>
      </c>
    </row>
    <row r="55" ht="18.0" customHeight="1">
      <c r="A55" s="7" t="s">
        <v>157</v>
      </c>
      <c r="B55" s="8"/>
      <c r="C55" s="8"/>
      <c r="D55" s="8"/>
      <c r="E55" s="8"/>
      <c r="F55" s="9"/>
    </row>
    <row r="56" ht="21.75" customHeight="1">
      <c r="A56" s="10">
        <v>42.0</v>
      </c>
      <c r="B56" s="11" t="s">
        <v>158</v>
      </c>
      <c r="C56" s="12" t="s">
        <v>159</v>
      </c>
      <c r="D56" s="13" t="s">
        <v>160</v>
      </c>
      <c r="E56" s="14" t="s">
        <v>13</v>
      </c>
      <c r="F56" s="15" t="s">
        <v>161</v>
      </c>
    </row>
    <row r="57" ht="21.75" customHeight="1">
      <c r="A57" s="10">
        <v>43.0</v>
      </c>
      <c r="B57" s="11" t="s">
        <v>162</v>
      </c>
      <c r="C57" s="12" t="s">
        <v>163</v>
      </c>
      <c r="D57" s="13" t="s">
        <v>20</v>
      </c>
      <c r="E57" s="14" t="s">
        <v>13</v>
      </c>
      <c r="F57" s="15" t="s">
        <v>164</v>
      </c>
    </row>
    <row r="58" ht="21.75" customHeight="1">
      <c r="A58" s="10">
        <v>44.0</v>
      </c>
      <c r="B58" s="11" t="s">
        <v>165</v>
      </c>
      <c r="C58" s="12" t="s">
        <v>166</v>
      </c>
      <c r="D58" s="13" t="s">
        <v>38</v>
      </c>
      <c r="E58" s="14" t="s">
        <v>13</v>
      </c>
      <c r="F58" s="15" t="s">
        <v>167</v>
      </c>
    </row>
    <row r="59" ht="21.75" customHeight="1">
      <c r="A59" s="10">
        <v>45.0</v>
      </c>
      <c r="B59" s="11" t="s">
        <v>168</v>
      </c>
      <c r="C59" s="12" t="s">
        <v>169</v>
      </c>
      <c r="D59" s="13" t="s">
        <v>170</v>
      </c>
      <c r="E59" s="14" t="s">
        <v>13</v>
      </c>
      <c r="F59" s="15" t="s">
        <v>171</v>
      </c>
    </row>
    <row r="60" ht="15.75" customHeight="1"/>
    <row r="61" ht="21.75" customHeight="1">
      <c r="A61" s="16" t="s">
        <v>172</v>
      </c>
      <c r="B61" s="2"/>
      <c r="C61" s="2"/>
      <c r="D61" s="2"/>
      <c r="E61" s="2"/>
      <c r="F61" s="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4:F34"/>
    <mergeCell ref="A40:F40"/>
    <mergeCell ref="A48:F48"/>
    <mergeCell ref="A55:F55"/>
    <mergeCell ref="A61:F61"/>
    <mergeCell ref="A2:F2"/>
    <mergeCell ref="A3:F3"/>
    <mergeCell ref="A4:F4"/>
    <mergeCell ref="A7:F7"/>
    <mergeCell ref="A13:F13"/>
    <mergeCell ref="A19:F19"/>
    <mergeCell ref="A28:F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F5C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0.0"/>
    <col customWidth="1" min="4" max="4" width="18.0"/>
    <col customWidth="1" min="5" max="5" width="20.0"/>
    <col customWidth="1" min="6" max="6" width="18.0"/>
    <col customWidth="1" min="7" max="7" width="16.0"/>
    <col customWidth="1" min="8" max="8" width="14.0"/>
    <col customWidth="1" min="9" max="9" width="22.0"/>
    <col customWidth="1" min="10" max="10" width="14.0"/>
    <col customWidth="1" min="11" max="12" width="12.0"/>
    <col customWidth="1" min="13" max="13" width="14.0"/>
    <col customWidth="1" min="14" max="14" width="10.0"/>
    <col customWidth="1" min="15" max="15" width="14.0"/>
    <col customWidth="1" min="16" max="16" width="16.0"/>
    <col customWidth="1" min="17" max="17" width="22.0"/>
    <col customWidth="1" min="18" max="18" width="20.0"/>
    <col customWidth="1" min="19" max="19" width="18.0"/>
    <col customWidth="1" min="20" max="26" width="8.71"/>
  </cols>
  <sheetData>
    <row r="1" ht="6.0" customHeight="1"/>
    <row r="2" ht="39.75" customHeight="1">
      <c r="A2" s="1" t="s">
        <v>173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ht="19.5" customHeight="1">
      <c r="A3" s="4" t="s">
        <v>174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ht="19.5" customHeight="1">
      <c r="A4" s="5" t="s">
        <v>175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</row>
    <row r="7" ht="19.5" customHeight="1">
      <c r="A7" s="17"/>
      <c r="B7" s="18" t="s">
        <v>176</v>
      </c>
      <c r="C7" s="19"/>
      <c r="D7" s="19"/>
      <c r="E7" s="20"/>
      <c r="F7" s="18" t="s">
        <v>177</v>
      </c>
      <c r="G7" s="19"/>
      <c r="H7" s="20"/>
      <c r="I7" s="18" t="s">
        <v>178</v>
      </c>
      <c r="J7" s="19"/>
      <c r="K7" s="19"/>
      <c r="L7" s="20"/>
      <c r="M7" s="18" t="s">
        <v>179</v>
      </c>
      <c r="N7" s="19"/>
      <c r="O7" s="20"/>
      <c r="P7" s="18" t="s">
        <v>180</v>
      </c>
      <c r="Q7" s="20"/>
      <c r="R7" s="18" t="s">
        <v>181</v>
      </c>
      <c r="S7" s="20"/>
    </row>
    <row r="8" ht="36.0" customHeight="1">
      <c r="A8" s="17" t="s">
        <v>3</v>
      </c>
      <c r="B8" s="17" t="s">
        <v>182</v>
      </c>
      <c r="C8" s="17" t="s">
        <v>183</v>
      </c>
      <c r="D8" s="17" t="s">
        <v>184</v>
      </c>
      <c r="E8" s="17" t="s">
        <v>185</v>
      </c>
      <c r="F8" s="17" t="s">
        <v>186</v>
      </c>
      <c r="G8" s="17" t="s">
        <v>187</v>
      </c>
      <c r="H8" s="17" t="s">
        <v>188</v>
      </c>
      <c r="I8" s="17" t="s">
        <v>189</v>
      </c>
      <c r="J8" s="17" t="s">
        <v>190</v>
      </c>
      <c r="K8" s="17" t="s">
        <v>191</v>
      </c>
      <c r="L8" s="17" t="s">
        <v>192</v>
      </c>
      <c r="M8" s="17" t="s">
        <v>193</v>
      </c>
      <c r="N8" s="17" t="s">
        <v>194</v>
      </c>
      <c r="O8" s="17" t="s">
        <v>195</v>
      </c>
      <c r="P8" s="17" t="s">
        <v>196</v>
      </c>
      <c r="Q8" s="17" t="s">
        <v>197</v>
      </c>
      <c r="R8" s="17" t="s">
        <v>198</v>
      </c>
      <c r="S8" s="17" t="s">
        <v>199</v>
      </c>
    </row>
    <row r="9" ht="19.5" customHeight="1">
      <c r="A9" s="21">
        <v>1.0</v>
      </c>
      <c r="B9" s="22" t="s">
        <v>200</v>
      </c>
      <c r="C9" s="22" t="s">
        <v>201</v>
      </c>
      <c r="D9" s="22" t="s">
        <v>202</v>
      </c>
      <c r="E9" s="22" t="s">
        <v>203</v>
      </c>
      <c r="F9" s="22" t="s">
        <v>204</v>
      </c>
      <c r="G9" s="22" t="s">
        <v>205</v>
      </c>
      <c r="H9" s="22"/>
      <c r="I9" s="21" t="s">
        <v>206</v>
      </c>
      <c r="J9" s="21" t="s">
        <v>207</v>
      </c>
      <c r="K9" s="21" t="s">
        <v>208</v>
      </c>
      <c r="L9" s="21" t="s">
        <v>209</v>
      </c>
      <c r="M9" s="23">
        <v>1299.0</v>
      </c>
      <c r="N9" s="23">
        <v>520.0</v>
      </c>
      <c r="O9" s="24">
        <f t="shared" ref="O9:O64" si="1">IF(N9&gt;0,(M9-N9)/M9,"")</f>
        <v>0.5996920708</v>
      </c>
      <c r="P9" s="21" t="s">
        <v>210</v>
      </c>
      <c r="Q9" s="21">
        <v>12.0</v>
      </c>
      <c r="R9" s="21">
        <v>6.0</v>
      </c>
      <c r="S9" s="22" t="s">
        <v>211</v>
      </c>
    </row>
    <row r="10" ht="19.5" customHeight="1">
      <c r="A10" s="25">
        <v>2.0</v>
      </c>
      <c r="B10" s="26" t="s">
        <v>212</v>
      </c>
      <c r="C10" s="26" t="s">
        <v>201</v>
      </c>
      <c r="D10" s="26" t="s">
        <v>213</v>
      </c>
      <c r="E10" s="26" t="s">
        <v>203</v>
      </c>
      <c r="F10" s="26" t="s">
        <v>204</v>
      </c>
      <c r="G10" s="26" t="s">
        <v>205</v>
      </c>
      <c r="H10" s="26"/>
      <c r="I10" s="25" t="s">
        <v>206</v>
      </c>
      <c r="J10" s="25" t="s">
        <v>207</v>
      </c>
      <c r="K10" s="25" t="s">
        <v>208</v>
      </c>
      <c r="L10" s="25" t="s">
        <v>209</v>
      </c>
      <c r="M10" s="27">
        <v>1299.0</v>
      </c>
      <c r="N10" s="27">
        <v>520.0</v>
      </c>
      <c r="O10" s="28">
        <f t="shared" si="1"/>
        <v>0.5996920708</v>
      </c>
      <c r="P10" s="25" t="s">
        <v>210</v>
      </c>
      <c r="Q10" s="25">
        <v>12.0</v>
      </c>
      <c r="R10" s="25">
        <v>6.0</v>
      </c>
      <c r="S10" s="26" t="s">
        <v>211</v>
      </c>
    </row>
    <row r="11" ht="19.5" customHeight="1">
      <c r="A11" s="21">
        <v>3.0</v>
      </c>
      <c r="B11" s="22" t="s">
        <v>214</v>
      </c>
      <c r="C11" s="22" t="s">
        <v>215</v>
      </c>
      <c r="D11" s="22" t="s">
        <v>216</v>
      </c>
      <c r="E11" s="22" t="s">
        <v>203</v>
      </c>
      <c r="F11" s="22" t="s">
        <v>217</v>
      </c>
      <c r="G11" s="22" t="s">
        <v>218</v>
      </c>
      <c r="H11" s="22"/>
      <c r="I11" s="21" t="s">
        <v>206</v>
      </c>
      <c r="J11" s="21" t="s">
        <v>219</v>
      </c>
      <c r="K11" s="21" t="s">
        <v>208</v>
      </c>
      <c r="L11" s="21" t="s">
        <v>209</v>
      </c>
      <c r="M11" s="23">
        <v>799.0</v>
      </c>
      <c r="N11" s="23">
        <v>310.0</v>
      </c>
      <c r="O11" s="24">
        <f t="shared" si="1"/>
        <v>0.6120150188</v>
      </c>
      <c r="P11" s="21" t="s">
        <v>220</v>
      </c>
      <c r="Q11" s="21">
        <v>5.0</v>
      </c>
      <c r="R11" s="21">
        <v>8.0</v>
      </c>
      <c r="S11" s="22" t="s">
        <v>211</v>
      </c>
    </row>
    <row r="12" ht="19.5" customHeight="1">
      <c r="A12" s="25">
        <v>4.0</v>
      </c>
      <c r="B12" s="26" t="s">
        <v>221</v>
      </c>
      <c r="C12" s="26" t="s">
        <v>222</v>
      </c>
      <c r="D12" s="26" t="s">
        <v>223</v>
      </c>
      <c r="E12" s="26" t="s">
        <v>203</v>
      </c>
      <c r="F12" s="26" t="s">
        <v>224</v>
      </c>
      <c r="G12" s="26" t="s">
        <v>225</v>
      </c>
      <c r="H12" s="26"/>
      <c r="I12" s="25" t="s">
        <v>226</v>
      </c>
      <c r="J12" s="25" t="s">
        <v>227</v>
      </c>
      <c r="K12" s="25" t="s">
        <v>228</v>
      </c>
      <c r="L12" s="25" t="s">
        <v>209</v>
      </c>
      <c r="M12" s="27">
        <v>1599.0</v>
      </c>
      <c r="N12" s="27">
        <v>640.0</v>
      </c>
      <c r="O12" s="28">
        <f t="shared" si="1"/>
        <v>0.5997498437</v>
      </c>
      <c r="P12" s="25" t="s">
        <v>229</v>
      </c>
      <c r="Q12" s="25">
        <v>12.0</v>
      </c>
      <c r="R12" s="25">
        <v>4.0</v>
      </c>
      <c r="S12" s="26" t="s">
        <v>211</v>
      </c>
    </row>
    <row r="13" ht="19.5" customHeight="1">
      <c r="A13" s="21">
        <v>5.0</v>
      </c>
      <c r="B13" s="22" t="s">
        <v>230</v>
      </c>
      <c r="C13" s="22" t="s">
        <v>231</v>
      </c>
      <c r="D13" s="22" t="s">
        <v>232</v>
      </c>
      <c r="E13" s="22" t="s">
        <v>203</v>
      </c>
      <c r="F13" s="22" t="s">
        <v>233</v>
      </c>
      <c r="G13" s="22" t="s">
        <v>225</v>
      </c>
      <c r="H13" s="22"/>
      <c r="I13" s="21" t="s">
        <v>226</v>
      </c>
      <c r="J13" s="21" t="s">
        <v>234</v>
      </c>
      <c r="K13" s="21" t="s">
        <v>235</v>
      </c>
      <c r="L13" s="21" t="s">
        <v>209</v>
      </c>
      <c r="M13" s="23">
        <v>3499.0</v>
      </c>
      <c r="N13" s="23">
        <v>1400.0</v>
      </c>
      <c r="O13" s="24">
        <f t="shared" si="1"/>
        <v>0.5998856816</v>
      </c>
      <c r="P13" s="21" t="s">
        <v>236</v>
      </c>
      <c r="Q13" s="21">
        <v>12.0</v>
      </c>
      <c r="R13" s="21">
        <v>3.0</v>
      </c>
      <c r="S13" s="22" t="s">
        <v>211</v>
      </c>
    </row>
    <row r="14" ht="19.5" customHeight="1">
      <c r="A14" s="25">
        <v>6.0</v>
      </c>
      <c r="B14" s="26" t="s">
        <v>237</v>
      </c>
      <c r="C14" s="26" t="s">
        <v>238</v>
      </c>
      <c r="D14" s="26" t="s">
        <v>239</v>
      </c>
      <c r="E14" s="26" t="s">
        <v>203</v>
      </c>
      <c r="F14" s="26" t="s">
        <v>240</v>
      </c>
      <c r="G14" s="26" t="s">
        <v>241</v>
      </c>
      <c r="H14" s="26"/>
      <c r="I14" s="25" t="s">
        <v>206</v>
      </c>
      <c r="J14" s="25" t="s">
        <v>242</v>
      </c>
      <c r="K14" s="25" t="s">
        <v>242</v>
      </c>
      <c r="L14" s="25" t="s">
        <v>209</v>
      </c>
      <c r="M14" s="27">
        <v>499.0</v>
      </c>
      <c r="N14" s="27">
        <v>180.0</v>
      </c>
      <c r="O14" s="28">
        <f t="shared" si="1"/>
        <v>0.6392785571</v>
      </c>
      <c r="P14" s="25" t="s">
        <v>243</v>
      </c>
      <c r="Q14" s="25">
        <v>5.0</v>
      </c>
      <c r="R14" s="25">
        <v>10.0</v>
      </c>
      <c r="S14" s="26" t="s">
        <v>211</v>
      </c>
    </row>
    <row r="15" ht="19.5" customHeight="1">
      <c r="A15" s="29">
        <v>1.0</v>
      </c>
      <c r="B15" s="22"/>
      <c r="C15" s="22"/>
      <c r="D15" s="22"/>
      <c r="E15" s="22"/>
      <c r="F15" s="22"/>
      <c r="G15" s="22"/>
      <c r="H15" s="22"/>
      <c r="I15" s="21"/>
      <c r="J15" s="21"/>
      <c r="K15" s="21"/>
      <c r="L15" s="21"/>
      <c r="M15" s="21"/>
      <c r="N15" s="21"/>
      <c r="O15" s="24" t="str">
        <f t="shared" si="1"/>
        <v/>
      </c>
      <c r="P15" s="21"/>
      <c r="Q15" s="21"/>
      <c r="R15" s="21"/>
      <c r="S15" s="22"/>
    </row>
    <row r="16" ht="19.5" customHeight="1">
      <c r="A16" s="30">
        <v>2.0</v>
      </c>
      <c r="B16" s="26"/>
      <c r="C16" s="26"/>
      <c r="D16" s="26"/>
      <c r="E16" s="26"/>
      <c r="F16" s="26"/>
      <c r="G16" s="26"/>
      <c r="H16" s="26"/>
      <c r="I16" s="25"/>
      <c r="J16" s="25"/>
      <c r="K16" s="25"/>
      <c r="L16" s="25"/>
      <c r="M16" s="25"/>
      <c r="N16" s="25"/>
      <c r="O16" s="28" t="str">
        <f t="shared" si="1"/>
        <v/>
      </c>
      <c r="P16" s="25"/>
      <c r="Q16" s="25"/>
      <c r="R16" s="25"/>
      <c r="S16" s="26"/>
    </row>
    <row r="17" ht="19.5" customHeight="1">
      <c r="A17" s="29">
        <v>3.0</v>
      </c>
      <c r="B17" s="22"/>
      <c r="C17" s="22"/>
      <c r="D17" s="22"/>
      <c r="E17" s="22"/>
      <c r="F17" s="22"/>
      <c r="G17" s="22"/>
      <c r="H17" s="22"/>
      <c r="I17" s="21"/>
      <c r="J17" s="21"/>
      <c r="K17" s="21"/>
      <c r="L17" s="21"/>
      <c r="M17" s="21"/>
      <c r="N17" s="21"/>
      <c r="O17" s="24" t="str">
        <f t="shared" si="1"/>
        <v/>
      </c>
      <c r="P17" s="21"/>
      <c r="Q17" s="21"/>
      <c r="R17" s="21"/>
      <c r="S17" s="22"/>
    </row>
    <row r="18" ht="19.5" customHeight="1">
      <c r="A18" s="30">
        <v>4.0</v>
      </c>
      <c r="B18" s="26"/>
      <c r="C18" s="26"/>
      <c r="D18" s="26"/>
      <c r="E18" s="26"/>
      <c r="F18" s="26"/>
      <c r="G18" s="26"/>
      <c r="H18" s="26"/>
      <c r="I18" s="25"/>
      <c r="J18" s="25"/>
      <c r="K18" s="25"/>
      <c r="L18" s="25"/>
      <c r="M18" s="25"/>
      <c r="N18" s="25"/>
      <c r="O18" s="28" t="str">
        <f t="shared" si="1"/>
        <v/>
      </c>
      <c r="P18" s="25"/>
      <c r="Q18" s="25"/>
      <c r="R18" s="25"/>
      <c r="S18" s="26"/>
    </row>
    <row r="19" ht="19.5" customHeight="1">
      <c r="A19" s="29">
        <v>5.0</v>
      </c>
      <c r="B19" s="22"/>
      <c r="C19" s="22"/>
      <c r="D19" s="22"/>
      <c r="E19" s="22"/>
      <c r="F19" s="22"/>
      <c r="G19" s="22"/>
      <c r="H19" s="22"/>
      <c r="I19" s="21"/>
      <c r="J19" s="21"/>
      <c r="K19" s="21"/>
      <c r="L19" s="21"/>
      <c r="M19" s="21"/>
      <c r="N19" s="21"/>
      <c r="O19" s="24" t="str">
        <f t="shared" si="1"/>
        <v/>
      </c>
      <c r="P19" s="21"/>
      <c r="Q19" s="21"/>
      <c r="R19" s="21"/>
      <c r="S19" s="22"/>
    </row>
    <row r="20" ht="19.5" customHeight="1">
      <c r="A20" s="30">
        <v>6.0</v>
      </c>
      <c r="B20" s="26"/>
      <c r="C20" s="26"/>
      <c r="D20" s="26"/>
      <c r="E20" s="26"/>
      <c r="F20" s="26"/>
      <c r="G20" s="26"/>
      <c r="H20" s="26"/>
      <c r="I20" s="25"/>
      <c r="J20" s="25"/>
      <c r="K20" s="25"/>
      <c r="L20" s="25"/>
      <c r="M20" s="25"/>
      <c r="N20" s="25"/>
      <c r="O20" s="28" t="str">
        <f t="shared" si="1"/>
        <v/>
      </c>
      <c r="P20" s="25"/>
      <c r="Q20" s="25"/>
      <c r="R20" s="25"/>
      <c r="S20" s="26"/>
    </row>
    <row r="21" ht="19.5" customHeight="1">
      <c r="A21" s="29">
        <v>7.0</v>
      </c>
      <c r="B21" s="22"/>
      <c r="C21" s="22"/>
      <c r="D21" s="22"/>
      <c r="E21" s="22"/>
      <c r="F21" s="22"/>
      <c r="G21" s="22"/>
      <c r="H21" s="22"/>
      <c r="I21" s="21"/>
      <c r="J21" s="21"/>
      <c r="K21" s="21"/>
      <c r="L21" s="21"/>
      <c r="M21" s="21"/>
      <c r="N21" s="21"/>
      <c r="O21" s="24" t="str">
        <f t="shared" si="1"/>
        <v/>
      </c>
      <c r="P21" s="21"/>
      <c r="Q21" s="21"/>
      <c r="R21" s="21"/>
      <c r="S21" s="22"/>
    </row>
    <row r="22" ht="19.5" customHeight="1">
      <c r="A22" s="30">
        <v>8.0</v>
      </c>
      <c r="B22" s="26"/>
      <c r="C22" s="26"/>
      <c r="D22" s="26"/>
      <c r="E22" s="26"/>
      <c r="F22" s="26"/>
      <c r="G22" s="26"/>
      <c r="H22" s="26"/>
      <c r="I22" s="25"/>
      <c r="J22" s="25"/>
      <c r="K22" s="25"/>
      <c r="L22" s="25"/>
      <c r="M22" s="25"/>
      <c r="N22" s="25"/>
      <c r="O22" s="28" t="str">
        <f t="shared" si="1"/>
        <v/>
      </c>
      <c r="P22" s="25"/>
      <c r="Q22" s="25"/>
      <c r="R22" s="25"/>
      <c r="S22" s="26"/>
    </row>
    <row r="23" ht="19.5" customHeight="1">
      <c r="A23" s="29">
        <v>9.0</v>
      </c>
      <c r="B23" s="22"/>
      <c r="C23" s="22"/>
      <c r="D23" s="22"/>
      <c r="E23" s="22"/>
      <c r="F23" s="22"/>
      <c r="G23" s="22"/>
      <c r="H23" s="22"/>
      <c r="I23" s="21"/>
      <c r="J23" s="21"/>
      <c r="K23" s="21"/>
      <c r="L23" s="21"/>
      <c r="M23" s="21"/>
      <c r="N23" s="21"/>
      <c r="O23" s="24" t="str">
        <f t="shared" si="1"/>
        <v/>
      </c>
      <c r="P23" s="21"/>
      <c r="Q23" s="21"/>
      <c r="R23" s="21"/>
      <c r="S23" s="22"/>
    </row>
    <row r="24" ht="19.5" customHeight="1">
      <c r="A24" s="30">
        <v>10.0</v>
      </c>
      <c r="B24" s="26"/>
      <c r="C24" s="26"/>
      <c r="D24" s="26"/>
      <c r="E24" s="26"/>
      <c r="F24" s="26"/>
      <c r="G24" s="26"/>
      <c r="H24" s="26"/>
      <c r="I24" s="25"/>
      <c r="J24" s="25"/>
      <c r="K24" s="25"/>
      <c r="L24" s="25"/>
      <c r="M24" s="25"/>
      <c r="N24" s="25"/>
      <c r="O24" s="28" t="str">
        <f t="shared" si="1"/>
        <v/>
      </c>
      <c r="P24" s="25"/>
      <c r="Q24" s="25"/>
      <c r="R24" s="25"/>
      <c r="S24" s="26"/>
    </row>
    <row r="25" ht="19.5" customHeight="1">
      <c r="A25" s="29">
        <v>11.0</v>
      </c>
      <c r="B25" s="22"/>
      <c r="C25" s="22"/>
      <c r="D25" s="22"/>
      <c r="E25" s="22"/>
      <c r="F25" s="22"/>
      <c r="G25" s="22"/>
      <c r="H25" s="22"/>
      <c r="I25" s="21"/>
      <c r="J25" s="21"/>
      <c r="K25" s="21"/>
      <c r="L25" s="21"/>
      <c r="M25" s="21"/>
      <c r="N25" s="21"/>
      <c r="O25" s="24" t="str">
        <f t="shared" si="1"/>
        <v/>
      </c>
      <c r="P25" s="21"/>
      <c r="Q25" s="21"/>
      <c r="R25" s="21"/>
      <c r="S25" s="22"/>
    </row>
    <row r="26" ht="19.5" customHeight="1">
      <c r="A26" s="30">
        <v>12.0</v>
      </c>
      <c r="B26" s="26"/>
      <c r="C26" s="26"/>
      <c r="D26" s="26"/>
      <c r="E26" s="26"/>
      <c r="F26" s="26"/>
      <c r="G26" s="26"/>
      <c r="H26" s="26"/>
      <c r="I26" s="25"/>
      <c r="J26" s="25"/>
      <c r="K26" s="25"/>
      <c r="L26" s="25"/>
      <c r="M26" s="25"/>
      <c r="N26" s="25"/>
      <c r="O26" s="28" t="str">
        <f t="shared" si="1"/>
        <v/>
      </c>
      <c r="P26" s="25"/>
      <c r="Q26" s="25"/>
      <c r="R26" s="25"/>
      <c r="S26" s="26"/>
    </row>
    <row r="27" ht="19.5" customHeight="1">
      <c r="A27" s="29">
        <v>13.0</v>
      </c>
      <c r="B27" s="22"/>
      <c r="C27" s="22"/>
      <c r="D27" s="22"/>
      <c r="E27" s="22"/>
      <c r="F27" s="22"/>
      <c r="G27" s="22"/>
      <c r="H27" s="22"/>
      <c r="I27" s="21"/>
      <c r="J27" s="21"/>
      <c r="K27" s="21"/>
      <c r="L27" s="21"/>
      <c r="M27" s="21"/>
      <c r="N27" s="21"/>
      <c r="O27" s="24" t="str">
        <f t="shared" si="1"/>
        <v/>
      </c>
      <c r="P27" s="21"/>
      <c r="Q27" s="21"/>
      <c r="R27" s="21"/>
      <c r="S27" s="22"/>
    </row>
    <row r="28" ht="19.5" customHeight="1">
      <c r="A28" s="30">
        <v>14.0</v>
      </c>
      <c r="B28" s="26"/>
      <c r="C28" s="26"/>
      <c r="D28" s="26"/>
      <c r="E28" s="26"/>
      <c r="F28" s="26"/>
      <c r="G28" s="26"/>
      <c r="H28" s="26"/>
      <c r="I28" s="25"/>
      <c r="J28" s="25"/>
      <c r="K28" s="25"/>
      <c r="L28" s="25"/>
      <c r="M28" s="25"/>
      <c r="N28" s="25"/>
      <c r="O28" s="28" t="str">
        <f t="shared" si="1"/>
        <v/>
      </c>
      <c r="P28" s="25"/>
      <c r="Q28" s="25"/>
      <c r="R28" s="25"/>
      <c r="S28" s="26"/>
    </row>
    <row r="29" ht="19.5" customHeight="1">
      <c r="A29" s="29">
        <v>15.0</v>
      </c>
      <c r="B29" s="22"/>
      <c r="C29" s="22"/>
      <c r="D29" s="22"/>
      <c r="E29" s="22"/>
      <c r="F29" s="22"/>
      <c r="G29" s="22"/>
      <c r="H29" s="22"/>
      <c r="I29" s="21"/>
      <c r="J29" s="21"/>
      <c r="K29" s="21"/>
      <c r="L29" s="21"/>
      <c r="M29" s="21"/>
      <c r="N29" s="21"/>
      <c r="O29" s="24" t="str">
        <f t="shared" si="1"/>
        <v/>
      </c>
      <c r="P29" s="21"/>
      <c r="Q29" s="21"/>
      <c r="R29" s="21"/>
      <c r="S29" s="22"/>
    </row>
    <row r="30" ht="19.5" customHeight="1">
      <c r="A30" s="30">
        <v>16.0</v>
      </c>
      <c r="B30" s="26"/>
      <c r="C30" s="26"/>
      <c r="D30" s="26"/>
      <c r="E30" s="26"/>
      <c r="F30" s="26"/>
      <c r="G30" s="26"/>
      <c r="H30" s="26"/>
      <c r="I30" s="25"/>
      <c r="J30" s="25"/>
      <c r="K30" s="25"/>
      <c r="L30" s="25"/>
      <c r="M30" s="25"/>
      <c r="N30" s="25"/>
      <c r="O30" s="28" t="str">
        <f t="shared" si="1"/>
        <v/>
      </c>
      <c r="P30" s="25"/>
      <c r="Q30" s="25"/>
      <c r="R30" s="25"/>
      <c r="S30" s="26"/>
    </row>
    <row r="31" ht="19.5" customHeight="1">
      <c r="A31" s="29">
        <v>17.0</v>
      </c>
      <c r="B31" s="22"/>
      <c r="C31" s="22"/>
      <c r="D31" s="22"/>
      <c r="E31" s="22"/>
      <c r="F31" s="22"/>
      <c r="G31" s="22"/>
      <c r="H31" s="22"/>
      <c r="I31" s="21"/>
      <c r="J31" s="21"/>
      <c r="K31" s="21"/>
      <c r="L31" s="21"/>
      <c r="M31" s="21"/>
      <c r="N31" s="21"/>
      <c r="O31" s="24" t="str">
        <f t="shared" si="1"/>
        <v/>
      </c>
      <c r="P31" s="21"/>
      <c r="Q31" s="21"/>
      <c r="R31" s="21"/>
      <c r="S31" s="22"/>
    </row>
    <row r="32" ht="19.5" customHeight="1">
      <c r="A32" s="30">
        <v>18.0</v>
      </c>
      <c r="B32" s="26"/>
      <c r="C32" s="26"/>
      <c r="D32" s="26"/>
      <c r="E32" s="26"/>
      <c r="F32" s="26"/>
      <c r="G32" s="26"/>
      <c r="H32" s="26"/>
      <c r="I32" s="25"/>
      <c r="J32" s="25"/>
      <c r="K32" s="25"/>
      <c r="L32" s="25"/>
      <c r="M32" s="25"/>
      <c r="N32" s="25"/>
      <c r="O32" s="28" t="str">
        <f t="shared" si="1"/>
        <v/>
      </c>
      <c r="P32" s="25"/>
      <c r="Q32" s="25"/>
      <c r="R32" s="25"/>
      <c r="S32" s="26"/>
    </row>
    <row r="33" ht="19.5" customHeight="1">
      <c r="A33" s="29">
        <v>19.0</v>
      </c>
      <c r="B33" s="22"/>
      <c r="C33" s="22"/>
      <c r="D33" s="22"/>
      <c r="E33" s="22"/>
      <c r="F33" s="22"/>
      <c r="G33" s="22"/>
      <c r="H33" s="22"/>
      <c r="I33" s="21"/>
      <c r="J33" s="21"/>
      <c r="K33" s="21"/>
      <c r="L33" s="21"/>
      <c r="M33" s="21"/>
      <c r="N33" s="21"/>
      <c r="O33" s="24" t="str">
        <f t="shared" si="1"/>
        <v/>
      </c>
      <c r="P33" s="21"/>
      <c r="Q33" s="21"/>
      <c r="R33" s="21"/>
      <c r="S33" s="22"/>
    </row>
    <row r="34" ht="19.5" customHeight="1">
      <c r="A34" s="30">
        <v>20.0</v>
      </c>
      <c r="B34" s="26"/>
      <c r="C34" s="26"/>
      <c r="D34" s="26"/>
      <c r="E34" s="26"/>
      <c r="F34" s="26"/>
      <c r="G34" s="26"/>
      <c r="H34" s="26"/>
      <c r="I34" s="25"/>
      <c r="J34" s="25"/>
      <c r="K34" s="25"/>
      <c r="L34" s="25"/>
      <c r="M34" s="25"/>
      <c r="N34" s="25"/>
      <c r="O34" s="28" t="str">
        <f t="shared" si="1"/>
        <v/>
      </c>
      <c r="P34" s="25"/>
      <c r="Q34" s="25"/>
      <c r="R34" s="25"/>
      <c r="S34" s="26"/>
    </row>
    <row r="35" ht="19.5" customHeight="1">
      <c r="A35" s="29">
        <v>21.0</v>
      </c>
      <c r="B35" s="22"/>
      <c r="C35" s="22"/>
      <c r="D35" s="22"/>
      <c r="E35" s="22"/>
      <c r="F35" s="22"/>
      <c r="G35" s="22"/>
      <c r="H35" s="22"/>
      <c r="I35" s="21"/>
      <c r="J35" s="21"/>
      <c r="K35" s="21"/>
      <c r="L35" s="21"/>
      <c r="M35" s="21"/>
      <c r="N35" s="21"/>
      <c r="O35" s="24" t="str">
        <f t="shared" si="1"/>
        <v/>
      </c>
      <c r="P35" s="21"/>
      <c r="Q35" s="21"/>
      <c r="R35" s="21"/>
      <c r="S35" s="22"/>
    </row>
    <row r="36" ht="19.5" customHeight="1">
      <c r="A36" s="30">
        <v>22.0</v>
      </c>
      <c r="B36" s="26"/>
      <c r="C36" s="26"/>
      <c r="D36" s="26"/>
      <c r="E36" s="26"/>
      <c r="F36" s="26"/>
      <c r="G36" s="26"/>
      <c r="H36" s="26"/>
      <c r="I36" s="25"/>
      <c r="J36" s="25"/>
      <c r="K36" s="25"/>
      <c r="L36" s="25"/>
      <c r="M36" s="25"/>
      <c r="N36" s="25"/>
      <c r="O36" s="28" t="str">
        <f t="shared" si="1"/>
        <v/>
      </c>
      <c r="P36" s="25"/>
      <c r="Q36" s="25"/>
      <c r="R36" s="25"/>
      <c r="S36" s="26"/>
    </row>
    <row r="37" ht="19.5" customHeight="1">
      <c r="A37" s="29">
        <v>23.0</v>
      </c>
      <c r="B37" s="22"/>
      <c r="C37" s="22"/>
      <c r="D37" s="22"/>
      <c r="E37" s="22"/>
      <c r="F37" s="22"/>
      <c r="G37" s="22"/>
      <c r="H37" s="22"/>
      <c r="I37" s="21"/>
      <c r="J37" s="21"/>
      <c r="K37" s="21"/>
      <c r="L37" s="21"/>
      <c r="M37" s="21"/>
      <c r="N37" s="21"/>
      <c r="O37" s="24" t="str">
        <f t="shared" si="1"/>
        <v/>
      </c>
      <c r="P37" s="21"/>
      <c r="Q37" s="21"/>
      <c r="R37" s="21"/>
      <c r="S37" s="22"/>
    </row>
    <row r="38" ht="19.5" customHeight="1">
      <c r="A38" s="30">
        <v>24.0</v>
      </c>
      <c r="B38" s="26"/>
      <c r="C38" s="26"/>
      <c r="D38" s="26"/>
      <c r="E38" s="26"/>
      <c r="F38" s="26"/>
      <c r="G38" s="26"/>
      <c r="H38" s="26"/>
      <c r="I38" s="25"/>
      <c r="J38" s="25"/>
      <c r="K38" s="25"/>
      <c r="L38" s="25"/>
      <c r="M38" s="25"/>
      <c r="N38" s="25"/>
      <c r="O38" s="28" t="str">
        <f t="shared" si="1"/>
        <v/>
      </c>
      <c r="P38" s="25"/>
      <c r="Q38" s="25"/>
      <c r="R38" s="25"/>
      <c r="S38" s="26"/>
    </row>
    <row r="39" ht="19.5" customHeight="1">
      <c r="A39" s="29">
        <v>25.0</v>
      </c>
      <c r="B39" s="22"/>
      <c r="C39" s="22"/>
      <c r="D39" s="22"/>
      <c r="E39" s="22"/>
      <c r="F39" s="22"/>
      <c r="G39" s="22"/>
      <c r="H39" s="22"/>
      <c r="I39" s="21"/>
      <c r="J39" s="21"/>
      <c r="K39" s="21"/>
      <c r="L39" s="21"/>
      <c r="M39" s="21"/>
      <c r="N39" s="21"/>
      <c r="O39" s="24" t="str">
        <f t="shared" si="1"/>
        <v/>
      </c>
      <c r="P39" s="21"/>
      <c r="Q39" s="21"/>
      <c r="R39" s="21"/>
      <c r="S39" s="22"/>
    </row>
    <row r="40" ht="19.5" customHeight="1">
      <c r="A40" s="30">
        <v>26.0</v>
      </c>
      <c r="B40" s="26"/>
      <c r="C40" s="26"/>
      <c r="D40" s="26"/>
      <c r="E40" s="26"/>
      <c r="F40" s="26"/>
      <c r="G40" s="26"/>
      <c r="H40" s="26"/>
      <c r="I40" s="25"/>
      <c r="J40" s="25"/>
      <c r="K40" s="25"/>
      <c r="L40" s="25"/>
      <c r="M40" s="25"/>
      <c r="N40" s="25"/>
      <c r="O40" s="28" t="str">
        <f t="shared" si="1"/>
        <v/>
      </c>
      <c r="P40" s="25"/>
      <c r="Q40" s="25"/>
      <c r="R40" s="25"/>
      <c r="S40" s="26"/>
    </row>
    <row r="41" ht="19.5" customHeight="1">
      <c r="A41" s="29">
        <v>27.0</v>
      </c>
      <c r="B41" s="22"/>
      <c r="C41" s="22"/>
      <c r="D41" s="22"/>
      <c r="E41" s="22"/>
      <c r="F41" s="22"/>
      <c r="G41" s="22"/>
      <c r="H41" s="22"/>
      <c r="I41" s="21"/>
      <c r="J41" s="21"/>
      <c r="K41" s="21"/>
      <c r="L41" s="21"/>
      <c r="M41" s="21"/>
      <c r="N41" s="21"/>
      <c r="O41" s="24" t="str">
        <f t="shared" si="1"/>
        <v/>
      </c>
      <c r="P41" s="21"/>
      <c r="Q41" s="21"/>
      <c r="R41" s="21"/>
      <c r="S41" s="22"/>
    </row>
    <row r="42" ht="19.5" customHeight="1">
      <c r="A42" s="30">
        <v>28.0</v>
      </c>
      <c r="B42" s="26"/>
      <c r="C42" s="26"/>
      <c r="D42" s="26"/>
      <c r="E42" s="26"/>
      <c r="F42" s="26"/>
      <c r="G42" s="26"/>
      <c r="H42" s="26"/>
      <c r="I42" s="25"/>
      <c r="J42" s="25"/>
      <c r="K42" s="25"/>
      <c r="L42" s="25"/>
      <c r="M42" s="25"/>
      <c r="N42" s="25"/>
      <c r="O42" s="28" t="str">
        <f t="shared" si="1"/>
        <v/>
      </c>
      <c r="P42" s="25"/>
      <c r="Q42" s="25"/>
      <c r="R42" s="25"/>
      <c r="S42" s="26"/>
    </row>
    <row r="43" ht="19.5" customHeight="1">
      <c r="A43" s="29">
        <v>29.0</v>
      </c>
      <c r="B43" s="22"/>
      <c r="C43" s="22"/>
      <c r="D43" s="22"/>
      <c r="E43" s="22"/>
      <c r="F43" s="22"/>
      <c r="G43" s="22"/>
      <c r="H43" s="22"/>
      <c r="I43" s="21"/>
      <c r="J43" s="21"/>
      <c r="K43" s="21"/>
      <c r="L43" s="21"/>
      <c r="M43" s="21"/>
      <c r="N43" s="21"/>
      <c r="O43" s="24" t="str">
        <f t="shared" si="1"/>
        <v/>
      </c>
      <c r="P43" s="21"/>
      <c r="Q43" s="21"/>
      <c r="R43" s="21"/>
      <c r="S43" s="22"/>
    </row>
    <row r="44" ht="19.5" customHeight="1">
      <c r="A44" s="30">
        <v>30.0</v>
      </c>
      <c r="B44" s="26"/>
      <c r="C44" s="26"/>
      <c r="D44" s="26"/>
      <c r="E44" s="26"/>
      <c r="F44" s="26"/>
      <c r="G44" s="26"/>
      <c r="H44" s="26"/>
      <c r="I44" s="25"/>
      <c r="J44" s="25"/>
      <c r="K44" s="25"/>
      <c r="L44" s="25"/>
      <c r="M44" s="25"/>
      <c r="N44" s="25"/>
      <c r="O44" s="28" t="str">
        <f t="shared" si="1"/>
        <v/>
      </c>
      <c r="P44" s="25"/>
      <c r="Q44" s="25"/>
      <c r="R44" s="25"/>
      <c r="S44" s="26"/>
    </row>
    <row r="45" ht="19.5" customHeight="1">
      <c r="A45" s="29">
        <v>31.0</v>
      </c>
      <c r="B45" s="22"/>
      <c r="C45" s="22"/>
      <c r="D45" s="22"/>
      <c r="E45" s="22"/>
      <c r="F45" s="22"/>
      <c r="G45" s="22"/>
      <c r="H45" s="22"/>
      <c r="I45" s="21"/>
      <c r="J45" s="21"/>
      <c r="K45" s="21"/>
      <c r="L45" s="21"/>
      <c r="M45" s="21"/>
      <c r="N45" s="21"/>
      <c r="O45" s="24" t="str">
        <f t="shared" si="1"/>
        <v/>
      </c>
      <c r="P45" s="21"/>
      <c r="Q45" s="21"/>
      <c r="R45" s="21"/>
      <c r="S45" s="22"/>
    </row>
    <row r="46" ht="19.5" customHeight="1">
      <c r="A46" s="30">
        <v>32.0</v>
      </c>
      <c r="B46" s="26"/>
      <c r="C46" s="26"/>
      <c r="D46" s="26"/>
      <c r="E46" s="26"/>
      <c r="F46" s="26"/>
      <c r="G46" s="26"/>
      <c r="H46" s="26"/>
      <c r="I46" s="25"/>
      <c r="J46" s="25"/>
      <c r="K46" s="25"/>
      <c r="L46" s="25"/>
      <c r="M46" s="25"/>
      <c r="N46" s="25"/>
      <c r="O46" s="28" t="str">
        <f t="shared" si="1"/>
        <v/>
      </c>
      <c r="P46" s="25"/>
      <c r="Q46" s="25"/>
      <c r="R46" s="25"/>
      <c r="S46" s="26"/>
    </row>
    <row r="47" ht="19.5" customHeight="1">
      <c r="A47" s="29">
        <v>33.0</v>
      </c>
      <c r="B47" s="22"/>
      <c r="C47" s="22"/>
      <c r="D47" s="22"/>
      <c r="E47" s="22"/>
      <c r="F47" s="22"/>
      <c r="G47" s="22"/>
      <c r="H47" s="22"/>
      <c r="I47" s="21"/>
      <c r="J47" s="21"/>
      <c r="K47" s="21"/>
      <c r="L47" s="21"/>
      <c r="M47" s="21"/>
      <c r="N47" s="21"/>
      <c r="O47" s="24" t="str">
        <f t="shared" si="1"/>
        <v/>
      </c>
      <c r="P47" s="21"/>
      <c r="Q47" s="21"/>
      <c r="R47" s="21"/>
      <c r="S47" s="22"/>
    </row>
    <row r="48" ht="19.5" customHeight="1">
      <c r="A48" s="30">
        <v>34.0</v>
      </c>
      <c r="B48" s="26"/>
      <c r="C48" s="26"/>
      <c r="D48" s="26"/>
      <c r="E48" s="26"/>
      <c r="F48" s="26"/>
      <c r="G48" s="26"/>
      <c r="H48" s="26"/>
      <c r="I48" s="25"/>
      <c r="J48" s="25"/>
      <c r="K48" s="25"/>
      <c r="L48" s="25"/>
      <c r="M48" s="25"/>
      <c r="N48" s="25"/>
      <c r="O48" s="28" t="str">
        <f t="shared" si="1"/>
        <v/>
      </c>
      <c r="P48" s="25"/>
      <c r="Q48" s="25"/>
      <c r="R48" s="25"/>
      <c r="S48" s="26"/>
    </row>
    <row r="49" ht="19.5" customHeight="1">
      <c r="A49" s="29">
        <v>35.0</v>
      </c>
      <c r="B49" s="22"/>
      <c r="C49" s="22"/>
      <c r="D49" s="22"/>
      <c r="E49" s="22"/>
      <c r="F49" s="22"/>
      <c r="G49" s="22"/>
      <c r="H49" s="22"/>
      <c r="I49" s="21"/>
      <c r="J49" s="21"/>
      <c r="K49" s="21"/>
      <c r="L49" s="21"/>
      <c r="M49" s="21"/>
      <c r="N49" s="21"/>
      <c r="O49" s="24" t="str">
        <f t="shared" si="1"/>
        <v/>
      </c>
      <c r="P49" s="21"/>
      <c r="Q49" s="21"/>
      <c r="R49" s="21"/>
      <c r="S49" s="22"/>
    </row>
    <row r="50" ht="19.5" customHeight="1">
      <c r="A50" s="30">
        <v>36.0</v>
      </c>
      <c r="B50" s="26"/>
      <c r="C50" s="26"/>
      <c r="D50" s="26"/>
      <c r="E50" s="26"/>
      <c r="F50" s="26"/>
      <c r="G50" s="26"/>
      <c r="H50" s="26"/>
      <c r="I50" s="25"/>
      <c r="J50" s="25"/>
      <c r="K50" s="25"/>
      <c r="L50" s="25"/>
      <c r="M50" s="25"/>
      <c r="N50" s="25"/>
      <c r="O50" s="28" t="str">
        <f t="shared" si="1"/>
        <v/>
      </c>
      <c r="P50" s="25"/>
      <c r="Q50" s="25"/>
      <c r="R50" s="25"/>
      <c r="S50" s="26"/>
    </row>
    <row r="51" ht="19.5" customHeight="1">
      <c r="A51" s="29">
        <v>37.0</v>
      </c>
      <c r="B51" s="22"/>
      <c r="C51" s="22"/>
      <c r="D51" s="22"/>
      <c r="E51" s="22"/>
      <c r="F51" s="22"/>
      <c r="G51" s="22"/>
      <c r="H51" s="22"/>
      <c r="I51" s="21"/>
      <c r="J51" s="21"/>
      <c r="K51" s="21"/>
      <c r="L51" s="21"/>
      <c r="M51" s="21"/>
      <c r="N51" s="21"/>
      <c r="O51" s="24" t="str">
        <f t="shared" si="1"/>
        <v/>
      </c>
      <c r="P51" s="21"/>
      <c r="Q51" s="21"/>
      <c r="R51" s="21"/>
      <c r="S51" s="22"/>
    </row>
    <row r="52" ht="19.5" customHeight="1">
      <c r="A52" s="30">
        <v>38.0</v>
      </c>
      <c r="B52" s="26"/>
      <c r="C52" s="26"/>
      <c r="D52" s="26"/>
      <c r="E52" s="26"/>
      <c r="F52" s="26"/>
      <c r="G52" s="26"/>
      <c r="H52" s="26"/>
      <c r="I52" s="25"/>
      <c r="J52" s="25"/>
      <c r="K52" s="25"/>
      <c r="L52" s="25"/>
      <c r="M52" s="25"/>
      <c r="N52" s="25"/>
      <c r="O52" s="28" t="str">
        <f t="shared" si="1"/>
        <v/>
      </c>
      <c r="P52" s="25"/>
      <c r="Q52" s="25"/>
      <c r="R52" s="25"/>
      <c r="S52" s="26"/>
    </row>
    <row r="53" ht="19.5" customHeight="1">
      <c r="A53" s="29">
        <v>39.0</v>
      </c>
      <c r="B53" s="22"/>
      <c r="C53" s="22"/>
      <c r="D53" s="22"/>
      <c r="E53" s="22"/>
      <c r="F53" s="22"/>
      <c r="G53" s="22"/>
      <c r="H53" s="22"/>
      <c r="I53" s="21"/>
      <c r="J53" s="21"/>
      <c r="K53" s="21"/>
      <c r="L53" s="21"/>
      <c r="M53" s="21"/>
      <c r="N53" s="21"/>
      <c r="O53" s="24" t="str">
        <f t="shared" si="1"/>
        <v/>
      </c>
      <c r="P53" s="21"/>
      <c r="Q53" s="21"/>
      <c r="R53" s="21"/>
      <c r="S53" s="22"/>
    </row>
    <row r="54" ht="19.5" customHeight="1">
      <c r="A54" s="30">
        <v>40.0</v>
      </c>
      <c r="B54" s="26"/>
      <c r="C54" s="26"/>
      <c r="D54" s="26"/>
      <c r="E54" s="26"/>
      <c r="F54" s="26"/>
      <c r="G54" s="26"/>
      <c r="H54" s="26"/>
      <c r="I54" s="25"/>
      <c r="J54" s="25"/>
      <c r="K54" s="25"/>
      <c r="L54" s="25"/>
      <c r="M54" s="25"/>
      <c r="N54" s="25"/>
      <c r="O54" s="28" t="str">
        <f t="shared" si="1"/>
        <v/>
      </c>
      <c r="P54" s="25"/>
      <c r="Q54" s="25"/>
      <c r="R54" s="25"/>
      <c r="S54" s="26"/>
    </row>
    <row r="55" ht="19.5" customHeight="1">
      <c r="A55" s="29">
        <v>41.0</v>
      </c>
      <c r="B55" s="22"/>
      <c r="C55" s="22"/>
      <c r="D55" s="22"/>
      <c r="E55" s="22"/>
      <c r="F55" s="22"/>
      <c r="G55" s="22"/>
      <c r="H55" s="22"/>
      <c r="I55" s="21"/>
      <c r="J55" s="21"/>
      <c r="K55" s="21"/>
      <c r="L55" s="21"/>
      <c r="M55" s="21"/>
      <c r="N55" s="21"/>
      <c r="O55" s="24" t="str">
        <f t="shared" si="1"/>
        <v/>
      </c>
      <c r="P55" s="21"/>
      <c r="Q55" s="21"/>
      <c r="R55" s="21"/>
      <c r="S55" s="22"/>
    </row>
    <row r="56" ht="19.5" customHeight="1">
      <c r="A56" s="30">
        <v>42.0</v>
      </c>
      <c r="B56" s="26"/>
      <c r="C56" s="26"/>
      <c r="D56" s="26"/>
      <c r="E56" s="26"/>
      <c r="F56" s="26"/>
      <c r="G56" s="26"/>
      <c r="H56" s="26"/>
      <c r="I56" s="25"/>
      <c r="J56" s="25"/>
      <c r="K56" s="25"/>
      <c r="L56" s="25"/>
      <c r="M56" s="25"/>
      <c r="N56" s="25"/>
      <c r="O56" s="28" t="str">
        <f t="shared" si="1"/>
        <v/>
      </c>
      <c r="P56" s="25"/>
      <c r="Q56" s="25"/>
      <c r="R56" s="25"/>
      <c r="S56" s="26"/>
    </row>
    <row r="57" ht="19.5" customHeight="1">
      <c r="A57" s="29">
        <v>43.0</v>
      </c>
      <c r="B57" s="22"/>
      <c r="C57" s="22"/>
      <c r="D57" s="22"/>
      <c r="E57" s="22"/>
      <c r="F57" s="22"/>
      <c r="G57" s="22"/>
      <c r="H57" s="22"/>
      <c r="I57" s="21"/>
      <c r="J57" s="21"/>
      <c r="K57" s="21"/>
      <c r="L57" s="21"/>
      <c r="M57" s="21"/>
      <c r="N57" s="21"/>
      <c r="O57" s="24" t="str">
        <f t="shared" si="1"/>
        <v/>
      </c>
      <c r="P57" s="21"/>
      <c r="Q57" s="21"/>
      <c r="R57" s="21"/>
      <c r="S57" s="22"/>
    </row>
    <row r="58" ht="19.5" customHeight="1">
      <c r="A58" s="30">
        <v>44.0</v>
      </c>
      <c r="B58" s="26"/>
      <c r="C58" s="26"/>
      <c r="D58" s="26"/>
      <c r="E58" s="26"/>
      <c r="F58" s="26"/>
      <c r="G58" s="26"/>
      <c r="H58" s="26"/>
      <c r="I58" s="25"/>
      <c r="J58" s="25"/>
      <c r="K58" s="25"/>
      <c r="L58" s="25"/>
      <c r="M58" s="25"/>
      <c r="N58" s="25"/>
      <c r="O58" s="28" t="str">
        <f t="shared" si="1"/>
        <v/>
      </c>
      <c r="P58" s="25"/>
      <c r="Q58" s="25"/>
      <c r="R58" s="25"/>
      <c r="S58" s="26"/>
    </row>
    <row r="59" ht="19.5" customHeight="1">
      <c r="A59" s="29">
        <v>45.0</v>
      </c>
      <c r="B59" s="22"/>
      <c r="C59" s="22"/>
      <c r="D59" s="22"/>
      <c r="E59" s="22"/>
      <c r="F59" s="22"/>
      <c r="G59" s="22"/>
      <c r="H59" s="22"/>
      <c r="I59" s="21"/>
      <c r="J59" s="21"/>
      <c r="K59" s="21"/>
      <c r="L59" s="21"/>
      <c r="M59" s="21"/>
      <c r="N59" s="21"/>
      <c r="O59" s="24" t="str">
        <f t="shared" si="1"/>
        <v/>
      </c>
      <c r="P59" s="21"/>
      <c r="Q59" s="21"/>
      <c r="R59" s="21"/>
      <c r="S59" s="22"/>
    </row>
    <row r="60" ht="19.5" customHeight="1">
      <c r="A60" s="30">
        <v>46.0</v>
      </c>
      <c r="B60" s="26"/>
      <c r="C60" s="26"/>
      <c r="D60" s="26"/>
      <c r="E60" s="26"/>
      <c r="F60" s="26"/>
      <c r="G60" s="26"/>
      <c r="H60" s="26"/>
      <c r="I60" s="25"/>
      <c r="J60" s="25"/>
      <c r="K60" s="25"/>
      <c r="L60" s="25"/>
      <c r="M60" s="25"/>
      <c r="N60" s="25"/>
      <c r="O60" s="28" t="str">
        <f t="shared" si="1"/>
        <v/>
      </c>
      <c r="P60" s="25"/>
      <c r="Q60" s="25"/>
      <c r="R60" s="25"/>
      <c r="S60" s="26"/>
    </row>
    <row r="61" ht="19.5" customHeight="1">
      <c r="A61" s="29">
        <v>47.0</v>
      </c>
      <c r="B61" s="22"/>
      <c r="C61" s="22"/>
      <c r="D61" s="22"/>
      <c r="E61" s="22"/>
      <c r="F61" s="22"/>
      <c r="G61" s="22"/>
      <c r="H61" s="22"/>
      <c r="I61" s="21"/>
      <c r="J61" s="21"/>
      <c r="K61" s="21"/>
      <c r="L61" s="21"/>
      <c r="M61" s="21"/>
      <c r="N61" s="21"/>
      <c r="O61" s="24" t="str">
        <f t="shared" si="1"/>
        <v/>
      </c>
      <c r="P61" s="21"/>
      <c r="Q61" s="21"/>
      <c r="R61" s="21"/>
      <c r="S61" s="22"/>
    </row>
    <row r="62" ht="19.5" customHeight="1">
      <c r="A62" s="30">
        <v>48.0</v>
      </c>
      <c r="B62" s="26"/>
      <c r="C62" s="26"/>
      <c r="D62" s="26"/>
      <c r="E62" s="26"/>
      <c r="F62" s="26"/>
      <c r="G62" s="26"/>
      <c r="H62" s="26"/>
      <c r="I62" s="25"/>
      <c r="J62" s="25"/>
      <c r="K62" s="25"/>
      <c r="L62" s="25"/>
      <c r="M62" s="25"/>
      <c r="N62" s="25"/>
      <c r="O62" s="28" t="str">
        <f t="shared" si="1"/>
        <v/>
      </c>
      <c r="P62" s="25"/>
      <c r="Q62" s="25"/>
      <c r="R62" s="25"/>
      <c r="S62" s="26"/>
    </row>
    <row r="63" ht="19.5" customHeight="1">
      <c r="A63" s="29">
        <v>49.0</v>
      </c>
      <c r="B63" s="22"/>
      <c r="C63" s="22"/>
      <c r="D63" s="22"/>
      <c r="E63" s="22"/>
      <c r="F63" s="22"/>
      <c r="G63" s="22"/>
      <c r="H63" s="22"/>
      <c r="I63" s="21"/>
      <c r="J63" s="21"/>
      <c r="K63" s="21"/>
      <c r="L63" s="21"/>
      <c r="M63" s="21"/>
      <c r="N63" s="21"/>
      <c r="O63" s="24" t="str">
        <f t="shared" si="1"/>
        <v/>
      </c>
      <c r="P63" s="21"/>
      <c r="Q63" s="21"/>
      <c r="R63" s="21"/>
      <c r="S63" s="22"/>
    </row>
    <row r="64" ht="19.5" customHeight="1">
      <c r="A64" s="30">
        <v>50.0</v>
      </c>
      <c r="B64" s="26"/>
      <c r="C64" s="26"/>
      <c r="D64" s="26"/>
      <c r="E64" s="26"/>
      <c r="F64" s="26"/>
      <c r="G64" s="26"/>
      <c r="H64" s="26"/>
      <c r="I64" s="25"/>
      <c r="J64" s="25"/>
      <c r="K64" s="25"/>
      <c r="L64" s="25"/>
      <c r="M64" s="25"/>
      <c r="N64" s="25"/>
      <c r="O64" s="28" t="str">
        <f t="shared" si="1"/>
        <v/>
      </c>
      <c r="P64" s="25"/>
      <c r="Q64" s="25"/>
      <c r="R64" s="25"/>
      <c r="S64" s="2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P7:Q7"/>
    <mergeCell ref="R7:S7"/>
    <mergeCell ref="A2:S2"/>
    <mergeCell ref="A3:S3"/>
    <mergeCell ref="A4:S4"/>
    <mergeCell ref="B7:E7"/>
    <mergeCell ref="F7:H7"/>
    <mergeCell ref="I7:L7"/>
    <mergeCell ref="M7:O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A745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34.0"/>
    <col customWidth="1" min="4" max="4" width="14.0"/>
    <col customWidth="1" min="5" max="5" width="20.0"/>
    <col customWidth="1" min="6" max="6" width="12.0"/>
    <col customWidth="1" min="7" max="7" width="14.0"/>
    <col customWidth="1" min="8" max="8" width="16.0"/>
    <col customWidth="1" min="9" max="9" width="18.0"/>
    <col customWidth="1" min="10" max="26" width="8.71"/>
  </cols>
  <sheetData>
    <row r="1" ht="6.0" customHeight="1"/>
    <row r="2" ht="39.75" customHeight="1">
      <c r="A2" s="1" t="s">
        <v>244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4" t="s">
        <v>245</v>
      </c>
      <c r="B3" s="2"/>
      <c r="C3" s="2"/>
      <c r="D3" s="2"/>
      <c r="E3" s="2"/>
      <c r="F3" s="2"/>
      <c r="G3" s="2"/>
      <c r="H3" s="2"/>
      <c r="I3" s="3"/>
    </row>
    <row r="4" ht="19.5" customHeight="1">
      <c r="A4" s="5" t="s">
        <v>246</v>
      </c>
      <c r="B4" s="2"/>
      <c r="C4" s="2"/>
      <c r="D4" s="2"/>
      <c r="E4" s="2"/>
      <c r="F4" s="2"/>
      <c r="G4" s="2"/>
      <c r="H4" s="2"/>
      <c r="I4" s="3"/>
    </row>
    <row r="7" ht="36.0" customHeight="1">
      <c r="A7" s="17" t="s">
        <v>3</v>
      </c>
      <c r="B7" s="17" t="s">
        <v>247</v>
      </c>
      <c r="C7" s="17" t="s">
        <v>248</v>
      </c>
      <c r="D7" s="17" t="s">
        <v>249</v>
      </c>
      <c r="E7" s="17" t="s">
        <v>250</v>
      </c>
      <c r="F7" s="17" t="s">
        <v>251</v>
      </c>
      <c r="G7" s="17" t="s">
        <v>252</v>
      </c>
      <c r="H7" s="17" t="s">
        <v>253</v>
      </c>
      <c r="I7" s="17" t="s">
        <v>254</v>
      </c>
    </row>
    <row r="8" ht="19.5" customHeight="1">
      <c r="A8" s="25">
        <v>1.0</v>
      </c>
      <c r="B8" s="26" t="s">
        <v>255</v>
      </c>
      <c r="C8" s="26" t="s">
        <v>256</v>
      </c>
      <c r="D8" s="25" t="s">
        <v>257</v>
      </c>
      <c r="E8" s="26" t="s">
        <v>101</v>
      </c>
      <c r="F8" s="26"/>
      <c r="G8" s="25">
        <v>4.0</v>
      </c>
      <c r="H8" s="27">
        <v>520.0</v>
      </c>
      <c r="I8" s="31">
        <f t="shared" ref="I8:I17" si="1">G8*H8</f>
        <v>2080</v>
      </c>
    </row>
    <row r="9" ht="19.5" customHeight="1">
      <c r="A9" s="21">
        <v>2.0</v>
      </c>
      <c r="B9" s="22" t="s">
        <v>258</v>
      </c>
      <c r="C9" s="22" t="s">
        <v>256</v>
      </c>
      <c r="D9" s="21" t="s">
        <v>208</v>
      </c>
      <c r="E9" s="22" t="s">
        <v>101</v>
      </c>
      <c r="F9" s="22"/>
      <c r="G9" s="21">
        <v>8.0</v>
      </c>
      <c r="H9" s="23">
        <v>520.0</v>
      </c>
      <c r="I9" s="32">
        <f t="shared" si="1"/>
        <v>4160</v>
      </c>
    </row>
    <row r="10" ht="19.5" customHeight="1">
      <c r="A10" s="25">
        <v>3.0</v>
      </c>
      <c r="B10" s="26" t="s">
        <v>259</v>
      </c>
      <c r="C10" s="26" t="s">
        <v>256</v>
      </c>
      <c r="D10" s="25" t="s">
        <v>260</v>
      </c>
      <c r="E10" s="26" t="s">
        <v>101</v>
      </c>
      <c r="F10" s="26"/>
      <c r="G10" s="25">
        <v>6.0</v>
      </c>
      <c r="H10" s="27">
        <v>520.0</v>
      </c>
      <c r="I10" s="31">
        <f t="shared" si="1"/>
        <v>3120</v>
      </c>
    </row>
    <row r="11" ht="19.5" customHeight="1">
      <c r="A11" s="21">
        <v>4.0</v>
      </c>
      <c r="B11" s="22" t="s">
        <v>261</v>
      </c>
      <c r="C11" s="22" t="s">
        <v>256</v>
      </c>
      <c r="D11" s="21" t="s">
        <v>262</v>
      </c>
      <c r="E11" s="22" t="s">
        <v>101</v>
      </c>
      <c r="F11" s="22"/>
      <c r="G11" s="21">
        <v>3.0</v>
      </c>
      <c r="H11" s="23">
        <v>520.0</v>
      </c>
      <c r="I11" s="32">
        <f t="shared" si="1"/>
        <v>1560</v>
      </c>
    </row>
    <row r="12" ht="19.5" customHeight="1">
      <c r="A12" s="25">
        <v>5.0</v>
      </c>
      <c r="B12" s="26" t="s">
        <v>263</v>
      </c>
      <c r="C12" s="26" t="s">
        <v>264</v>
      </c>
      <c r="D12" s="25" t="s">
        <v>257</v>
      </c>
      <c r="E12" s="26" t="s">
        <v>101</v>
      </c>
      <c r="F12" s="26"/>
      <c r="G12" s="25">
        <v>10.0</v>
      </c>
      <c r="H12" s="27">
        <v>310.0</v>
      </c>
      <c r="I12" s="31">
        <f t="shared" si="1"/>
        <v>3100</v>
      </c>
    </row>
    <row r="13" ht="19.5" customHeight="1">
      <c r="A13" s="21">
        <v>6.0</v>
      </c>
      <c r="B13" s="22" t="s">
        <v>265</v>
      </c>
      <c r="C13" s="22" t="s">
        <v>264</v>
      </c>
      <c r="D13" s="21" t="s">
        <v>208</v>
      </c>
      <c r="E13" s="22" t="s">
        <v>101</v>
      </c>
      <c r="F13" s="22"/>
      <c r="G13" s="21">
        <v>12.0</v>
      </c>
      <c r="H13" s="23">
        <v>310.0</v>
      </c>
      <c r="I13" s="32">
        <f t="shared" si="1"/>
        <v>3720</v>
      </c>
    </row>
    <row r="14" ht="19.5" customHeight="1">
      <c r="A14" s="25">
        <v>7.0</v>
      </c>
      <c r="B14" s="26" t="s">
        <v>266</v>
      </c>
      <c r="C14" s="26" t="s">
        <v>264</v>
      </c>
      <c r="D14" s="25" t="s">
        <v>260</v>
      </c>
      <c r="E14" s="26" t="s">
        <v>101</v>
      </c>
      <c r="F14" s="26"/>
      <c r="G14" s="25">
        <v>7.0</v>
      </c>
      <c r="H14" s="27">
        <v>310.0</v>
      </c>
      <c r="I14" s="31">
        <f t="shared" si="1"/>
        <v>2170</v>
      </c>
    </row>
    <row r="15" ht="19.5" customHeight="1">
      <c r="A15" s="21">
        <v>8.0</v>
      </c>
      <c r="B15" s="22" t="s">
        <v>267</v>
      </c>
      <c r="C15" s="22" t="s">
        <v>268</v>
      </c>
      <c r="D15" s="21" t="s">
        <v>269</v>
      </c>
      <c r="E15" s="22" t="s">
        <v>101</v>
      </c>
      <c r="F15" s="22"/>
      <c r="G15" s="21">
        <v>5.0</v>
      </c>
      <c r="H15" s="23">
        <v>640.0</v>
      </c>
      <c r="I15" s="32">
        <f t="shared" si="1"/>
        <v>3200</v>
      </c>
    </row>
    <row r="16" ht="19.5" customHeight="1">
      <c r="A16" s="25">
        <v>9.0</v>
      </c>
      <c r="B16" s="26" t="s">
        <v>270</v>
      </c>
      <c r="C16" s="26" t="s">
        <v>268</v>
      </c>
      <c r="D16" s="25" t="s">
        <v>228</v>
      </c>
      <c r="E16" s="26" t="s">
        <v>101</v>
      </c>
      <c r="F16" s="26"/>
      <c r="G16" s="25">
        <v>9.0</v>
      </c>
      <c r="H16" s="27">
        <v>640.0</v>
      </c>
      <c r="I16" s="31">
        <f t="shared" si="1"/>
        <v>5760</v>
      </c>
    </row>
    <row r="17" ht="19.5" customHeight="1">
      <c r="A17" s="21">
        <v>10.0</v>
      </c>
      <c r="B17" s="22" t="s">
        <v>271</v>
      </c>
      <c r="C17" s="22" t="s">
        <v>268</v>
      </c>
      <c r="D17" s="21" t="s">
        <v>272</v>
      </c>
      <c r="E17" s="22" t="s">
        <v>101</v>
      </c>
      <c r="F17" s="22"/>
      <c r="G17" s="21">
        <v>6.0</v>
      </c>
      <c r="H17" s="23">
        <v>640.0</v>
      </c>
      <c r="I17" s="32">
        <f t="shared" si="1"/>
        <v>3840</v>
      </c>
    </row>
    <row r="18" ht="19.5" customHeight="1">
      <c r="A18" s="30">
        <v>1.0</v>
      </c>
      <c r="B18" s="26"/>
      <c r="C18" s="26"/>
      <c r="D18" s="25"/>
      <c r="E18" s="26"/>
      <c r="F18" s="26"/>
      <c r="G18" s="25"/>
      <c r="H18" s="25"/>
      <c r="I18" s="31" t="str">
        <f t="shared" ref="I18:I117" si="2">IF(G18="","",G18*H18)</f>
        <v/>
      </c>
    </row>
    <row r="19" ht="19.5" customHeight="1">
      <c r="A19" s="29">
        <v>2.0</v>
      </c>
      <c r="B19" s="22"/>
      <c r="C19" s="22"/>
      <c r="D19" s="21"/>
      <c r="E19" s="22"/>
      <c r="F19" s="22"/>
      <c r="G19" s="21"/>
      <c r="H19" s="21"/>
      <c r="I19" s="32" t="str">
        <f t="shared" si="2"/>
        <v/>
      </c>
    </row>
    <row r="20" ht="19.5" customHeight="1">
      <c r="A20" s="30">
        <v>3.0</v>
      </c>
      <c r="B20" s="26"/>
      <c r="C20" s="26"/>
      <c r="D20" s="25"/>
      <c r="E20" s="26"/>
      <c r="F20" s="26"/>
      <c r="G20" s="25"/>
      <c r="H20" s="25"/>
      <c r="I20" s="31" t="str">
        <f t="shared" si="2"/>
        <v/>
      </c>
    </row>
    <row r="21" ht="19.5" customHeight="1">
      <c r="A21" s="29">
        <v>4.0</v>
      </c>
      <c r="B21" s="22"/>
      <c r="C21" s="22"/>
      <c r="D21" s="21"/>
      <c r="E21" s="22"/>
      <c r="F21" s="22"/>
      <c r="G21" s="21"/>
      <c r="H21" s="21"/>
      <c r="I21" s="32" t="str">
        <f t="shared" si="2"/>
        <v/>
      </c>
    </row>
    <row r="22" ht="19.5" customHeight="1">
      <c r="A22" s="30">
        <v>5.0</v>
      </c>
      <c r="B22" s="26"/>
      <c r="C22" s="26"/>
      <c r="D22" s="25"/>
      <c r="E22" s="26"/>
      <c r="F22" s="26"/>
      <c r="G22" s="25"/>
      <c r="H22" s="25"/>
      <c r="I22" s="31" t="str">
        <f t="shared" si="2"/>
        <v/>
      </c>
    </row>
    <row r="23" ht="19.5" customHeight="1">
      <c r="A23" s="29">
        <v>6.0</v>
      </c>
      <c r="B23" s="22"/>
      <c r="C23" s="22"/>
      <c r="D23" s="21"/>
      <c r="E23" s="22"/>
      <c r="F23" s="22"/>
      <c r="G23" s="21"/>
      <c r="H23" s="21"/>
      <c r="I23" s="32" t="str">
        <f t="shared" si="2"/>
        <v/>
      </c>
    </row>
    <row r="24" ht="19.5" customHeight="1">
      <c r="A24" s="30">
        <v>7.0</v>
      </c>
      <c r="B24" s="26"/>
      <c r="C24" s="26"/>
      <c r="D24" s="25"/>
      <c r="E24" s="26"/>
      <c r="F24" s="26"/>
      <c r="G24" s="25"/>
      <c r="H24" s="25"/>
      <c r="I24" s="31" t="str">
        <f t="shared" si="2"/>
        <v/>
      </c>
    </row>
    <row r="25" ht="19.5" customHeight="1">
      <c r="A25" s="29">
        <v>8.0</v>
      </c>
      <c r="B25" s="22"/>
      <c r="C25" s="22"/>
      <c r="D25" s="21"/>
      <c r="E25" s="22"/>
      <c r="F25" s="22"/>
      <c r="G25" s="21"/>
      <c r="H25" s="21"/>
      <c r="I25" s="32" t="str">
        <f t="shared" si="2"/>
        <v/>
      </c>
    </row>
    <row r="26" ht="19.5" customHeight="1">
      <c r="A26" s="30">
        <v>9.0</v>
      </c>
      <c r="B26" s="26"/>
      <c r="C26" s="26"/>
      <c r="D26" s="25"/>
      <c r="E26" s="26"/>
      <c r="F26" s="26"/>
      <c r="G26" s="25"/>
      <c r="H26" s="25"/>
      <c r="I26" s="31" t="str">
        <f t="shared" si="2"/>
        <v/>
      </c>
    </row>
    <row r="27" ht="19.5" customHeight="1">
      <c r="A27" s="29">
        <v>10.0</v>
      </c>
      <c r="B27" s="22"/>
      <c r="C27" s="22"/>
      <c r="D27" s="21"/>
      <c r="E27" s="22"/>
      <c r="F27" s="22"/>
      <c r="G27" s="21"/>
      <c r="H27" s="21"/>
      <c r="I27" s="32" t="str">
        <f t="shared" si="2"/>
        <v/>
      </c>
    </row>
    <row r="28" ht="19.5" customHeight="1">
      <c r="A28" s="30">
        <v>11.0</v>
      </c>
      <c r="B28" s="26"/>
      <c r="C28" s="26"/>
      <c r="D28" s="25"/>
      <c r="E28" s="26"/>
      <c r="F28" s="26"/>
      <c r="G28" s="25"/>
      <c r="H28" s="25"/>
      <c r="I28" s="31" t="str">
        <f t="shared" si="2"/>
        <v/>
      </c>
    </row>
    <row r="29" ht="19.5" customHeight="1">
      <c r="A29" s="29">
        <v>12.0</v>
      </c>
      <c r="B29" s="22"/>
      <c r="C29" s="22"/>
      <c r="D29" s="21"/>
      <c r="E29" s="22"/>
      <c r="F29" s="22"/>
      <c r="G29" s="21"/>
      <c r="H29" s="21"/>
      <c r="I29" s="32" t="str">
        <f t="shared" si="2"/>
        <v/>
      </c>
    </row>
    <row r="30" ht="19.5" customHeight="1">
      <c r="A30" s="30">
        <v>13.0</v>
      </c>
      <c r="B30" s="26"/>
      <c r="C30" s="26"/>
      <c r="D30" s="25"/>
      <c r="E30" s="26"/>
      <c r="F30" s="26"/>
      <c r="G30" s="25"/>
      <c r="H30" s="25"/>
      <c r="I30" s="31" t="str">
        <f t="shared" si="2"/>
        <v/>
      </c>
    </row>
    <row r="31" ht="19.5" customHeight="1">
      <c r="A31" s="29">
        <v>14.0</v>
      </c>
      <c r="B31" s="22"/>
      <c r="C31" s="22"/>
      <c r="D31" s="21"/>
      <c r="E31" s="22"/>
      <c r="F31" s="22"/>
      <c r="G31" s="21"/>
      <c r="H31" s="21"/>
      <c r="I31" s="32" t="str">
        <f t="shared" si="2"/>
        <v/>
      </c>
    </row>
    <row r="32" ht="19.5" customHeight="1">
      <c r="A32" s="30">
        <v>15.0</v>
      </c>
      <c r="B32" s="26"/>
      <c r="C32" s="26"/>
      <c r="D32" s="25"/>
      <c r="E32" s="26"/>
      <c r="F32" s="26"/>
      <c r="G32" s="25"/>
      <c r="H32" s="25"/>
      <c r="I32" s="31" t="str">
        <f t="shared" si="2"/>
        <v/>
      </c>
    </row>
    <row r="33" ht="19.5" customHeight="1">
      <c r="A33" s="29">
        <v>16.0</v>
      </c>
      <c r="B33" s="22"/>
      <c r="C33" s="22"/>
      <c r="D33" s="21"/>
      <c r="E33" s="22"/>
      <c r="F33" s="22"/>
      <c r="G33" s="21"/>
      <c r="H33" s="21"/>
      <c r="I33" s="32" t="str">
        <f t="shared" si="2"/>
        <v/>
      </c>
    </row>
    <row r="34" ht="19.5" customHeight="1">
      <c r="A34" s="30">
        <v>17.0</v>
      </c>
      <c r="B34" s="26"/>
      <c r="C34" s="26"/>
      <c r="D34" s="25"/>
      <c r="E34" s="26"/>
      <c r="F34" s="26"/>
      <c r="G34" s="25"/>
      <c r="H34" s="25"/>
      <c r="I34" s="31" t="str">
        <f t="shared" si="2"/>
        <v/>
      </c>
    </row>
    <row r="35" ht="19.5" customHeight="1">
      <c r="A35" s="29">
        <v>18.0</v>
      </c>
      <c r="B35" s="22"/>
      <c r="C35" s="22"/>
      <c r="D35" s="21"/>
      <c r="E35" s="22"/>
      <c r="F35" s="22"/>
      <c r="G35" s="21"/>
      <c r="H35" s="21"/>
      <c r="I35" s="32" t="str">
        <f t="shared" si="2"/>
        <v/>
      </c>
    </row>
    <row r="36" ht="19.5" customHeight="1">
      <c r="A36" s="30">
        <v>19.0</v>
      </c>
      <c r="B36" s="26"/>
      <c r="C36" s="26"/>
      <c r="D36" s="25"/>
      <c r="E36" s="26"/>
      <c r="F36" s="26"/>
      <c r="G36" s="25"/>
      <c r="H36" s="25"/>
      <c r="I36" s="31" t="str">
        <f t="shared" si="2"/>
        <v/>
      </c>
    </row>
    <row r="37" ht="19.5" customHeight="1">
      <c r="A37" s="29">
        <v>20.0</v>
      </c>
      <c r="B37" s="22"/>
      <c r="C37" s="22"/>
      <c r="D37" s="21"/>
      <c r="E37" s="22"/>
      <c r="F37" s="22"/>
      <c r="G37" s="21"/>
      <c r="H37" s="21"/>
      <c r="I37" s="32" t="str">
        <f t="shared" si="2"/>
        <v/>
      </c>
    </row>
    <row r="38" ht="19.5" customHeight="1">
      <c r="A38" s="30">
        <v>21.0</v>
      </c>
      <c r="B38" s="26"/>
      <c r="C38" s="26"/>
      <c r="D38" s="25"/>
      <c r="E38" s="26"/>
      <c r="F38" s="26"/>
      <c r="G38" s="25"/>
      <c r="H38" s="25"/>
      <c r="I38" s="31" t="str">
        <f t="shared" si="2"/>
        <v/>
      </c>
    </row>
    <row r="39" ht="19.5" customHeight="1">
      <c r="A39" s="29">
        <v>22.0</v>
      </c>
      <c r="B39" s="22"/>
      <c r="C39" s="22"/>
      <c r="D39" s="21"/>
      <c r="E39" s="22"/>
      <c r="F39" s="22"/>
      <c r="G39" s="21"/>
      <c r="H39" s="21"/>
      <c r="I39" s="32" t="str">
        <f t="shared" si="2"/>
        <v/>
      </c>
    </row>
    <row r="40" ht="19.5" customHeight="1">
      <c r="A40" s="30">
        <v>23.0</v>
      </c>
      <c r="B40" s="26"/>
      <c r="C40" s="26"/>
      <c r="D40" s="25"/>
      <c r="E40" s="26"/>
      <c r="F40" s="26"/>
      <c r="G40" s="25"/>
      <c r="H40" s="25"/>
      <c r="I40" s="31" t="str">
        <f t="shared" si="2"/>
        <v/>
      </c>
    </row>
    <row r="41" ht="19.5" customHeight="1">
      <c r="A41" s="29">
        <v>24.0</v>
      </c>
      <c r="B41" s="22"/>
      <c r="C41" s="22"/>
      <c r="D41" s="21"/>
      <c r="E41" s="22"/>
      <c r="F41" s="22"/>
      <c r="G41" s="21"/>
      <c r="H41" s="21"/>
      <c r="I41" s="32" t="str">
        <f t="shared" si="2"/>
        <v/>
      </c>
    </row>
    <row r="42" ht="19.5" customHeight="1">
      <c r="A42" s="30">
        <v>25.0</v>
      </c>
      <c r="B42" s="26"/>
      <c r="C42" s="26"/>
      <c r="D42" s="25"/>
      <c r="E42" s="26"/>
      <c r="F42" s="26"/>
      <c r="G42" s="25"/>
      <c r="H42" s="25"/>
      <c r="I42" s="31" t="str">
        <f t="shared" si="2"/>
        <v/>
      </c>
    </row>
    <row r="43" ht="19.5" customHeight="1">
      <c r="A43" s="29">
        <v>26.0</v>
      </c>
      <c r="B43" s="22"/>
      <c r="C43" s="22"/>
      <c r="D43" s="21"/>
      <c r="E43" s="22"/>
      <c r="F43" s="22"/>
      <c r="G43" s="21"/>
      <c r="H43" s="21"/>
      <c r="I43" s="32" t="str">
        <f t="shared" si="2"/>
        <v/>
      </c>
    </row>
    <row r="44" ht="19.5" customHeight="1">
      <c r="A44" s="30">
        <v>27.0</v>
      </c>
      <c r="B44" s="26"/>
      <c r="C44" s="26"/>
      <c r="D44" s="25"/>
      <c r="E44" s="26"/>
      <c r="F44" s="26"/>
      <c r="G44" s="25"/>
      <c r="H44" s="25"/>
      <c r="I44" s="31" t="str">
        <f t="shared" si="2"/>
        <v/>
      </c>
    </row>
    <row r="45" ht="19.5" customHeight="1">
      <c r="A45" s="29">
        <v>28.0</v>
      </c>
      <c r="B45" s="22"/>
      <c r="C45" s="22"/>
      <c r="D45" s="21"/>
      <c r="E45" s="22"/>
      <c r="F45" s="22"/>
      <c r="G45" s="21"/>
      <c r="H45" s="21"/>
      <c r="I45" s="32" t="str">
        <f t="shared" si="2"/>
        <v/>
      </c>
    </row>
    <row r="46" ht="19.5" customHeight="1">
      <c r="A46" s="30">
        <v>29.0</v>
      </c>
      <c r="B46" s="26"/>
      <c r="C46" s="26"/>
      <c r="D46" s="25"/>
      <c r="E46" s="26"/>
      <c r="F46" s="26"/>
      <c r="G46" s="25"/>
      <c r="H46" s="25"/>
      <c r="I46" s="31" t="str">
        <f t="shared" si="2"/>
        <v/>
      </c>
    </row>
    <row r="47" ht="19.5" customHeight="1">
      <c r="A47" s="29">
        <v>30.0</v>
      </c>
      <c r="B47" s="22"/>
      <c r="C47" s="22"/>
      <c r="D47" s="21"/>
      <c r="E47" s="22"/>
      <c r="F47" s="22"/>
      <c r="G47" s="21"/>
      <c r="H47" s="21"/>
      <c r="I47" s="32" t="str">
        <f t="shared" si="2"/>
        <v/>
      </c>
    </row>
    <row r="48" ht="19.5" customHeight="1">
      <c r="A48" s="30">
        <v>31.0</v>
      </c>
      <c r="B48" s="26"/>
      <c r="C48" s="26"/>
      <c r="D48" s="25"/>
      <c r="E48" s="26"/>
      <c r="F48" s="26"/>
      <c r="G48" s="25"/>
      <c r="H48" s="25"/>
      <c r="I48" s="31" t="str">
        <f t="shared" si="2"/>
        <v/>
      </c>
    </row>
    <row r="49" ht="19.5" customHeight="1">
      <c r="A49" s="29">
        <v>32.0</v>
      </c>
      <c r="B49" s="22"/>
      <c r="C49" s="22"/>
      <c r="D49" s="21"/>
      <c r="E49" s="22"/>
      <c r="F49" s="22"/>
      <c r="G49" s="21"/>
      <c r="H49" s="21"/>
      <c r="I49" s="32" t="str">
        <f t="shared" si="2"/>
        <v/>
      </c>
    </row>
    <row r="50" ht="19.5" customHeight="1">
      <c r="A50" s="30">
        <v>33.0</v>
      </c>
      <c r="B50" s="26"/>
      <c r="C50" s="26"/>
      <c r="D50" s="25"/>
      <c r="E50" s="26"/>
      <c r="F50" s="26"/>
      <c r="G50" s="25"/>
      <c r="H50" s="25"/>
      <c r="I50" s="31" t="str">
        <f t="shared" si="2"/>
        <v/>
      </c>
    </row>
    <row r="51" ht="19.5" customHeight="1">
      <c r="A51" s="29">
        <v>34.0</v>
      </c>
      <c r="B51" s="22"/>
      <c r="C51" s="22"/>
      <c r="D51" s="21"/>
      <c r="E51" s="22"/>
      <c r="F51" s="22"/>
      <c r="G51" s="21"/>
      <c r="H51" s="21"/>
      <c r="I51" s="32" t="str">
        <f t="shared" si="2"/>
        <v/>
      </c>
    </row>
    <row r="52" ht="19.5" customHeight="1">
      <c r="A52" s="30">
        <v>35.0</v>
      </c>
      <c r="B52" s="26"/>
      <c r="C52" s="26"/>
      <c r="D52" s="25"/>
      <c r="E52" s="26"/>
      <c r="F52" s="26"/>
      <c r="G52" s="25"/>
      <c r="H52" s="25"/>
      <c r="I52" s="31" t="str">
        <f t="shared" si="2"/>
        <v/>
      </c>
    </row>
    <row r="53" ht="19.5" customHeight="1">
      <c r="A53" s="29">
        <v>36.0</v>
      </c>
      <c r="B53" s="22"/>
      <c r="C53" s="22"/>
      <c r="D53" s="21"/>
      <c r="E53" s="22"/>
      <c r="F53" s="22"/>
      <c r="G53" s="21"/>
      <c r="H53" s="21"/>
      <c r="I53" s="32" t="str">
        <f t="shared" si="2"/>
        <v/>
      </c>
    </row>
    <row r="54" ht="19.5" customHeight="1">
      <c r="A54" s="30">
        <v>37.0</v>
      </c>
      <c r="B54" s="26"/>
      <c r="C54" s="26"/>
      <c r="D54" s="25"/>
      <c r="E54" s="26"/>
      <c r="F54" s="26"/>
      <c r="G54" s="25"/>
      <c r="H54" s="25"/>
      <c r="I54" s="31" t="str">
        <f t="shared" si="2"/>
        <v/>
      </c>
    </row>
    <row r="55" ht="19.5" customHeight="1">
      <c r="A55" s="29">
        <v>38.0</v>
      </c>
      <c r="B55" s="22"/>
      <c r="C55" s="22"/>
      <c r="D55" s="21"/>
      <c r="E55" s="22"/>
      <c r="F55" s="22"/>
      <c r="G55" s="21"/>
      <c r="H55" s="21"/>
      <c r="I55" s="32" t="str">
        <f t="shared" si="2"/>
        <v/>
      </c>
    </row>
    <row r="56" ht="19.5" customHeight="1">
      <c r="A56" s="30">
        <v>39.0</v>
      </c>
      <c r="B56" s="26"/>
      <c r="C56" s="26"/>
      <c r="D56" s="25"/>
      <c r="E56" s="26"/>
      <c r="F56" s="26"/>
      <c r="G56" s="25"/>
      <c r="H56" s="25"/>
      <c r="I56" s="31" t="str">
        <f t="shared" si="2"/>
        <v/>
      </c>
    </row>
    <row r="57" ht="19.5" customHeight="1">
      <c r="A57" s="29">
        <v>40.0</v>
      </c>
      <c r="B57" s="22"/>
      <c r="C57" s="22"/>
      <c r="D57" s="21"/>
      <c r="E57" s="22"/>
      <c r="F57" s="22"/>
      <c r="G57" s="21"/>
      <c r="H57" s="21"/>
      <c r="I57" s="32" t="str">
        <f t="shared" si="2"/>
        <v/>
      </c>
    </row>
    <row r="58" ht="19.5" customHeight="1">
      <c r="A58" s="30">
        <v>41.0</v>
      </c>
      <c r="B58" s="26"/>
      <c r="C58" s="26"/>
      <c r="D58" s="25"/>
      <c r="E58" s="26"/>
      <c r="F58" s="26"/>
      <c r="G58" s="25"/>
      <c r="H58" s="25"/>
      <c r="I58" s="31" t="str">
        <f t="shared" si="2"/>
        <v/>
      </c>
    </row>
    <row r="59" ht="19.5" customHeight="1">
      <c r="A59" s="29">
        <v>42.0</v>
      </c>
      <c r="B59" s="22"/>
      <c r="C59" s="22"/>
      <c r="D59" s="21"/>
      <c r="E59" s="22"/>
      <c r="F59" s="22"/>
      <c r="G59" s="21"/>
      <c r="H59" s="21"/>
      <c r="I59" s="32" t="str">
        <f t="shared" si="2"/>
        <v/>
      </c>
    </row>
    <row r="60" ht="19.5" customHeight="1">
      <c r="A60" s="30">
        <v>43.0</v>
      </c>
      <c r="B60" s="26"/>
      <c r="C60" s="26"/>
      <c r="D60" s="25"/>
      <c r="E60" s="26"/>
      <c r="F60" s="26"/>
      <c r="G60" s="25"/>
      <c r="H60" s="25"/>
      <c r="I60" s="31" t="str">
        <f t="shared" si="2"/>
        <v/>
      </c>
    </row>
    <row r="61" ht="19.5" customHeight="1">
      <c r="A61" s="29">
        <v>44.0</v>
      </c>
      <c r="B61" s="22"/>
      <c r="C61" s="22"/>
      <c r="D61" s="21"/>
      <c r="E61" s="22"/>
      <c r="F61" s="22"/>
      <c r="G61" s="21"/>
      <c r="H61" s="21"/>
      <c r="I61" s="32" t="str">
        <f t="shared" si="2"/>
        <v/>
      </c>
    </row>
    <row r="62" ht="19.5" customHeight="1">
      <c r="A62" s="30">
        <v>45.0</v>
      </c>
      <c r="B62" s="26"/>
      <c r="C62" s="26"/>
      <c r="D62" s="25"/>
      <c r="E62" s="26"/>
      <c r="F62" s="26"/>
      <c r="G62" s="25"/>
      <c r="H62" s="25"/>
      <c r="I62" s="31" t="str">
        <f t="shared" si="2"/>
        <v/>
      </c>
    </row>
    <row r="63" ht="19.5" customHeight="1">
      <c r="A63" s="29">
        <v>46.0</v>
      </c>
      <c r="B63" s="22"/>
      <c r="C63" s="22"/>
      <c r="D63" s="21"/>
      <c r="E63" s="22"/>
      <c r="F63" s="22"/>
      <c r="G63" s="21"/>
      <c r="H63" s="21"/>
      <c r="I63" s="32" t="str">
        <f t="shared" si="2"/>
        <v/>
      </c>
    </row>
    <row r="64" ht="19.5" customHeight="1">
      <c r="A64" s="30">
        <v>47.0</v>
      </c>
      <c r="B64" s="26"/>
      <c r="C64" s="26"/>
      <c r="D64" s="25"/>
      <c r="E64" s="26"/>
      <c r="F64" s="26"/>
      <c r="G64" s="25"/>
      <c r="H64" s="25"/>
      <c r="I64" s="31" t="str">
        <f t="shared" si="2"/>
        <v/>
      </c>
    </row>
    <row r="65" ht="19.5" customHeight="1">
      <c r="A65" s="29">
        <v>48.0</v>
      </c>
      <c r="B65" s="22"/>
      <c r="C65" s="22"/>
      <c r="D65" s="21"/>
      <c r="E65" s="22"/>
      <c r="F65" s="22"/>
      <c r="G65" s="21"/>
      <c r="H65" s="21"/>
      <c r="I65" s="32" t="str">
        <f t="shared" si="2"/>
        <v/>
      </c>
    </row>
    <row r="66" ht="19.5" customHeight="1">
      <c r="A66" s="30">
        <v>49.0</v>
      </c>
      <c r="B66" s="26"/>
      <c r="C66" s="26"/>
      <c r="D66" s="25"/>
      <c r="E66" s="26"/>
      <c r="F66" s="26"/>
      <c r="G66" s="25"/>
      <c r="H66" s="25"/>
      <c r="I66" s="31" t="str">
        <f t="shared" si="2"/>
        <v/>
      </c>
    </row>
    <row r="67" ht="19.5" customHeight="1">
      <c r="A67" s="29">
        <v>50.0</v>
      </c>
      <c r="B67" s="22"/>
      <c r="C67" s="22"/>
      <c r="D67" s="21"/>
      <c r="E67" s="22"/>
      <c r="F67" s="22"/>
      <c r="G67" s="21"/>
      <c r="H67" s="21"/>
      <c r="I67" s="32" t="str">
        <f t="shared" si="2"/>
        <v/>
      </c>
    </row>
    <row r="68" ht="19.5" customHeight="1">
      <c r="A68" s="30">
        <v>51.0</v>
      </c>
      <c r="B68" s="26"/>
      <c r="C68" s="26"/>
      <c r="D68" s="25"/>
      <c r="E68" s="26"/>
      <c r="F68" s="26"/>
      <c r="G68" s="25"/>
      <c r="H68" s="25"/>
      <c r="I68" s="31" t="str">
        <f t="shared" si="2"/>
        <v/>
      </c>
    </row>
    <row r="69" ht="19.5" customHeight="1">
      <c r="A69" s="29">
        <v>52.0</v>
      </c>
      <c r="B69" s="22"/>
      <c r="C69" s="22"/>
      <c r="D69" s="21"/>
      <c r="E69" s="22"/>
      <c r="F69" s="22"/>
      <c r="G69" s="21"/>
      <c r="H69" s="21"/>
      <c r="I69" s="32" t="str">
        <f t="shared" si="2"/>
        <v/>
      </c>
    </row>
    <row r="70" ht="19.5" customHeight="1">
      <c r="A70" s="30">
        <v>53.0</v>
      </c>
      <c r="B70" s="26"/>
      <c r="C70" s="26"/>
      <c r="D70" s="25"/>
      <c r="E70" s="26"/>
      <c r="F70" s="26"/>
      <c r="G70" s="25"/>
      <c r="H70" s="25"/>
      <c r="I70" s="31" t="str">
        <f t="shared" si="2"/>
        <v/>
      </c>
    </row>
    <row r="71" ht="19.5" customHeight="1">
      <c r="A71" s="29">
        <v>54.0</v>
      </c>
      <c r="B71" s="22"/>
      <c r="C71" s="22"/>
      <c r="D71" s="21"/>
      <c r="E71" s="22"/>
      <c r="F71" s="22"/>
      <c r="G71" s="21"/>
      <c r="H71" s="21"/>
      <c r="I71" s="32" t="str">
        <f t="shared" si="2"/>
        <v/>
      </c>
    </row>
    <row r="72" ht="19.5" customHeight="1">
      <c r="A72" s="30">
        <v>55.0</v>
      </c>
      <c r="B72" s="26"/>
      <c r="C72" s="26"/>
      <c r="D72" s="25"/>
      <c r="E72" s="26"/>
      <c r="F72" s="26"/>
      <c r="G72" s="25"/>
      <c r="H72" s="25"/>
      <c r="I72" s="31" t="str">
        <f t="shared" si="2"/>
        <v/>
      </c>
    </row>
    <row r="73" ht="19.5" customHeight="1">
      <c r="A73" s="29">
        <v>56.0</v>
      </c>
      <c r="B73" s="22"/>
      <c r="C73" s="22"/>
      <c r="D73" s="21"/>
      <c r="E73" s="22"/>
      <c r="F73" s="22"/>
      <c r="G73" s="21"/>
      <c r="H73" s="21"/>
      <c r="I73" s="32" t="str">
        <f t="shared" si="2"/>
        <v/>
      </c>
    </row>
    <row r="74" ht="19.5" customHeight="1">
      <c r="A74" s="30">
        <v>57.0</v>
      </c>
      <c r="B74" s="26"/>
      <c r="C74" s="26"/>
      <c r="D74" s="25"/>
      <c r="E74" s="26"/>
      <c r="F74" s="26"/>
      <c r="G74" s="25"/>
      <c r="H74" s="25"/>
      <c r="I74" s="31" t="str">
        <f t="shared" si="2"/>
        <v/>
      </c>
    </row>
    <row r="75" ht="19.5" customHeight="1">
      <c r="A75" s="29">
        <v>58.0</v>
      </c>
      <c r="B75" s="22"/>
      <c r="C75" s="22"/>
      <c r="D75" s="21"/>
      <c r="E75" s="22"/>
      <c r="F75" s="22"/>
      <c r="G75" s="21"/>
      <c r="H75" s="21"/>
      <c r="I75" s="32" t="str">
        <f t="shared" si="2"/>
        <v/>
      </c>
    </row>
    <row r="76" ht="19.5" customHeight="1">
      <c r="A76" s="30">
        <v>59.0</v>
      </c>
      <c r="B76" s="26"/>
      <c r="C76" s="26"/>
      <c r="D76" s="25"/>
      <c r="E76" s="26"/>
      <c r="F76" s="26"/>
      <c r="G76" s="25"/>
      <c r="H76" s="25"/>
      <c r="I76" s="31" t="str">
        <f t="shared" si="2"/>
        <v/>
      </c>
    </row>
    <row r="77" ht="19.5" customHeight="1">
      <c r="A77" s="29">
        <v>60.0</v>
      </c>
      <c r="B77" s="22"/>
      <c r="C77" s="22"/>
      <c r="D77" s="21"/>
      <c r="E77" s="22"/>
      <c r="F77" s="22"/>
      <c r="G77" s="21"/>
      <c r="H77" s="21"/>
      <c r="I77" s="32" t="str">
        <f t="shared" si="2"/>
        <v/>
      </c>
    </row>
    <row r="78" ht="19.5" customHeight="1">
      <c r="A78" s="30">
        <v>61.0</v>
      </c>
      <c r="B78" s="26"/>
      <c r="C78" s="26"/>
      <c r="D78" s="25"/>
      <c r="E78" s="26"/>
      <c r="F78" s="26"/>
      <c r="G78" s="25"/>
      <c r="H78" s="25"/>
      <c r="I78" s="31" t="str">
        <f t="shared" si="2"/>
        <v/>
      </c>
    </row>
    <row r="79" ht="19.5" customHeight="1">
      <c r="A79" s="29">
        <v>62.0</v>
      </c>
      <c r="B79" s="22"/>
      <c r="C79" s="22"/>
      <c r="D79" s="21"/>
      <c r="E79" s="22"/>
      <c r="F79" s="22"/>
      <c r="G79" s="21"/>
      <c r="H79" s="21"/>
      <c r="I79" s="32" t="str">
        <f t="shared" si="2"/>
        <v/>
      </c>
    </row>
    <row r="80" ht="19.5" customHeight="1">
      <c r="A80" s="30">
        <v>63.0</v>
      </c>
      <c r="B80" s="26"/>
      <c r="C80" s="26"/>
      <c r="D80" s="25"/>
      <c r="E80" s="26"/>
      <c r="F80" s="26"/>
      <c r="G80" s="25"/>
      <c r="H80" s="25"/>
      <c r="I80" s="31" t="str">
        <f t="shared" si="2"/>
        <v/>
      </c>
    </row>
    <row r="81" ht="19.5" customHeight="1">
      <c r="A81" s="29">
        <v>64.0</v>
      </c>
      <c r="B81" s="22"/>
      <c r="C81" s="22"/>
      <c r="D81" s="21"/>
      <c r="E81" s="22"/>
      <c r="F81" s="22"/>
      <c r="G81" s="21"/>
      <c r="H81" s="21"/>
      <c r="I81" s="32" t="str">
        <f t="shared" si="2"/>
        <v/>
      </c>
    </row>
    <row r="82" ht="19.5" customHeight="1">
      <c r="A82" s="30">
        <v>65.0</v>
      </c>
      <c r="B82" s="26"/>
      <c r="C82" s="26"/>
      <c r="D82" s="25"/>
      <c r="E82" s="26"/>
      <c r="F82" s="26"/>
      <c r="G82" s="25"/>
      <c r="H82" s="25"/>
      <c r="I82" s="31" t="str">
        <f t="shared" si="2"/>
        <v/>
      </c>
    </row>
    <row r="83" ht="19.5" customHeight="1">
      <c r="A83" s="29">
        <v>66.0</v>
      </c>
      <c r="B83" s="22"/>
      <c r="C83" s="22"/>
      <c r="D83" s="21"/>
      <c r="E83" s="22"/>
      <c r="F83" s="22"/>
      <c r="G83" s="21"/>
      <c r="H83" s="21"/>
      <c r="I83" s="32" t="str">
        <f t="shared" si="2"/>
        <v/>
      </c>
    </row>
    <row r="84" ht="19.5" customHeight="1">
      <c r="A84" s="30">
        <v>67.0</v>
      </c>
      <c r="B84" s="26"/>
      <c r="C84" s="26"/>
      <c r="D84" s="25"/>
      <c r="E84" s="26"/>
      <c r="F84" s="26"/>
      <c r="G84" s="25"/>
      <c r="H84" s="25"/>
      <c r="I84" s="31" t="str">
        <f t="shared" si="2"/>
        <v/>
      </c>
    </row>
    <row r="85" ht="19.5" customHeight="1">
      <c r="A85" s="29">
        <v>68.0</v>
      </c>
      <c r="B85" s="22"/>
      <c r="C85" s="22"/>
      <c r="D85" s="21"/>
      <c r="E85" s="22"/>
      <c r="F85" s="22"/>
      <c r="G85" s="21"/>
      <c r="H85" s="21"/>
      <c r="I85" s="32" t="str">
        <f t="shared" si="2"/>
        <v/>
      </c>
    </row>
    <row r="86" ht="19.5" customHeight="1">
      <c r="A86" s="30">
        <v>69.0</v>
      </c>
      <c r="B86" s="26"/>
      <c r="C86" s="26"/>
      <c r="D86" s="25"/>
      <c r="E86" s="26"/>
      <c r="F86" s="26"/>
      <c r="G86" s="25"/>
      <c r="H86" s="25"/>
      <c r="I86" s="31" t="str">
        <f t="shared" si="2"/>
        <v/>
      </c>
    </row>
    <row r="87" ht="19.5" customHeight="1">
      <c r="A87" s="29">
        <v>70.0</v>
      </c>
      <c r="B87" s="22"/>
      <c r="C87" s="22"/>
      <c r="D87" s="21"/>
      <c r="E87" s="22"/>
      <c r="F87" s="22"/>
      <c r="G87" s="21"/>
      <c r="H87" s="21"/>
      <c r="I87" s="32" t="str">
        <f t="shared" si="2"/>
        <v/>
      </c>
    </row>
    <row r="88" ht="19.5" customHeight="1">
      <c r="A88" s="30">
        <v>71.0</v>
      </c>
      <c r="B88" s="26"/>
      <c r="C88" s="26"/>
      <c r="D88" s="25"/>
      <c r="E88" s="26"/>
      <c r="F88" s="26"/>
      <c r="G88" s="25"/>
      <c r="H88" s="25"/>
      <c r="I88" s="31" t="str">
        <f t="shared" si="2"/>
        <v/>
      </c>
    </row>
    <row r="89" ht="19.5" customHeight="1">
      <c r="A89" s="29">
        <v>72.0</v>
      </c>
      <c r="B89" s="22"/>
      <c r="C89" s="22"/>
      <c r="D89" s="21"/>
      <c r="E89" s="22"/>
      <c r="F89" s="22"/>
      <c r="G89" s="21"/>
      <c r="H89" s="21"/>
      <c r="I89" s="32" t="str">
        <f t="shared" si="2"/>
        <v/>
      </c>
    </row>
    <row r="90" ht="19.5" customHeight="1">
      <c r="A90" s="30">
        <v>73.0</v>
      </c>
      <c r="B90" s="26"/>
      <c r="C90" s="26"/>
      <c r="D90" s="25"/>
      <c r="E90" s="26"/>
      <c r="F90" s="26"/>
      <c r="G90" s="25"/>
      <c r="H90" s="25"/>
      <c r="I90" s="31" t="str">
        <f t="shared" si="2"/>
        <v/>
      </c>
    </row>
    <row r="91" ht="19.5" customHeight="1">
      <c r="A91" s="29">
        <v>74.0</v>
      </c>
      <c r="B91" s="22"/>
      <c r="C91" s="22"/>
      <c r="D91" s="21"/>
      <c r="E91" s="22"/>
      <c r="F91" s="22"/>
      <c r="G91" s="21"/>
      <c r="H91" s="21"/>
      <c r="I91" s="32" t="str">
        <f t="shared" si="2"/>
        <v/>
      </c>
    </row>
    <row r="92" ht="19.5" customHeight="1">
      <c r="A92" s="30">
        <v>75.0</v>
      </c>
      <c r="B92" s="26"/>
      <c r="C92" s="26"/>
      <c r="D92" s="25"/>
      <c r="E92" s="26"/>
      <c r="F92" s="26"/>
      <c r="G92" s="25"/>
      <c r="H92" s="25"/>
      <c r="I92" s="31" t="str">
        <f t="shared" si="2"/>
        <v/>
      </c>
    </row>
    <row r="93" ht="19.5" customHeight="1">
      <c r="A93" s="29">
        <v>76.0</v>
      </c>
      <c r="B93" s="22"/>
      <c r="C93" s="22"/>
      <c r="D93" s="21"/>
      <c r="E93" s="22"/>
      <c r="F93" s="22"/>
      <c r="G93" s="21"/>
      <c r="H93" s="21"/>
      <c r="I93" s="32" t="str">
        <f t="shared" si="2"/>
        <v/>
      </c>
    </row>
    <row r="94" ht="19.5" customHeight="1">
      <c r="A94" s="30">
        <v>77.0</v>
      </c>
      <c r="B94" s="26"/>
      <c r="C94" s="26"/>
      <c r="D94" s="25"/>
      <c r="E94" s="26"/>
      <c r="F94" s="26"/>
      <c r="G94" s="25"/>
      <c r="H94" s="25"/>
      <c r="I94" s="31" t="str">
        <f t="shared" si="2"/>
        <v/>
      </c>
    </row>
    <row r="95" ht="19.5" customHeight="1">
      <c r="A95" s="29">
        <v>78.0</v>
      </c>
      <c r="B95" s="22"/>
      <c r="C95" s="22"/>
      <c r="D95" s="21"/>
      <c r="E95" s="22"/>
      <c r="F95" s="22"/>
      <c r="G95" s="21"/>
      <c r="H95" s="21"/>
      <c r="I95" s="32" t="str">
        <f t="shared" si="2"/>
        <v/>
      </c>
    </row>
    <row r="96" ht="19.5" customHeight="1">
      <c r="A96" s="30">
        <v>79.0</v>
      </c>
      <c r="B96" s="26"/>
      <c r="C96" s="26"/>
      <c r="D96" s="25"/>
      <c r="E96" s="26"/>
      <c r="F96" s="26"/>
      <c r="G96" s="25"/>
      <c r="H96" s="25"/>
      <c r="I96" s="31" t="str">
        <f t="shared" si="2"/>
        <v/>
      </c>
    </row>
    <row r="97" ht="19.5" customHeight="1">
      <c r="A97" s="29">
        <v>80.0</v>
      </c>
      <c r="B97" s="22"/>
      <c r="C97" s="22"/>
      <c r="D97" s="21"/>
      <c r="E97" s="22"/>
      <c r="F97" s="22"/>
      <c r="G97" s="21"/>
      <c r="H97" s="21"/>
      <c r="I97" s="32" t="str">
        <f t="shared" si="2"/>
        <v/>
      </c>
    </row>
    <row r="98" ht="19.5" customHeight="1">
      <c r="A98" s="30">
        <v>81.0</v>
      </c>
      <c r="B98" s="26"/>
      <c r="C98" s="26"/>
      <c r="D98" s="25"/>
      <c r="E98" s="26"/>
      <c r="F98" s="26"/>
      <c r="G98" s="25"/>
      <c r="H98" s="25"/>
      <c r="I98" s="31" t="str">
        <f t="shared" si="2"/>
        <v/>
      </c>
    </row>
    <row r="99" ht="19.5" customHeight="1">
      <c r="A99" s="29">
        <v>82.0</v>
      </c>
      <c r="B99" s="22"/>
      <c r="C99" s="22"/>
      <c r="D99" s="21"/>
      <c r="E99" s="22"/>
      <c r="F99" s="22"/>
      <c r="G99" s="21"/>
      <c r="H99" s="21"/>
      <c r="I99" s="32" t="str">
        <f t="shared" si="2"/>
        <v/>
      </c>
    </row>
    <row r="100" ht="19.5" customHeight="1">
      <c r="A100" s="30">
        <v>83.0</v>
      </c>
      <c r="B100" s="26"/>
      <c r="C100" s="26"/>
      <c r="D100" s="25"/>
      <c r="E100" s="26"/>
      <c r="F100" s="26"/>
      <c r="G100" s="25"/>
      <c r="H100" s="25"/>
      <c r="I100" s="31" t="str">
        <f t="shared" si="2"/>
        <v/>
      </c>
    </row>
    <row r="101" ht="19.5" customHeight="1">
      <c r="A101" s="29">
        <v>84.0</v>
      </c>
      <c r="B101" s="22"/>
      <c r="C101" s="22"/>
      <c r="D101" s="21"/>
      <c r="E101" s="22"/>
      <c r="F101" s="22"/>
      <c r="G101" s="21"/>
      <c r="H101" s="21"/>
      <c r="I101" s="32" t="str">
        <f t="shared" si="2"/>
        <v/>
      </c>
    </row>
    <row r="102" ht="19.5" customHeight="1">
      <c r="A102" s="30">
        <v>85.0</v>
      </c>
      <c r="B102" s="26"/>
      <c r="C102" s="26"/>
      <c r="D102" s="25"/>
      <c r="E102" s="26"/>
      <c r="F102" s="26"/>
      <c r="G102" s="25"/>
      <c r="H102" s="25"/>
      <c r="I102" s="31" t="str">
        <f t="shared" si="2"/>
        <v/>
      </c>
    </row>
    <row r="103" ht="19.5" customHeight="1">
      <c r="A103" s="29">
        <v>86.0</v>
      </c>
      <c r="B103" s="22"/>
      <c r="C103" s="22"/>
      <c r="D103" s="21"/>
      <c r="E103" s="22"/>
      <c r="F103" s="22"/>
      <c r="G103" s="21"/>
      <c r="H103" s="21"/>
      <c r="I103" s="32" t="str">
        <f t="shared" si="2"/>
        <v/>
      </c>
    </row>
    <row r="104" ht="19.5" customHeight="1">
      <c r="A104" s="30">
        <v>87.0</v>
      </c>
      <c r="B104" s="26"/>
      <c r="C104" s="26"/>
      <c r="D104" s="25"/>
      <c r="E104" s="26"/>
      <c r="F104" s="26"/>
      <c r="G104" s="25"/>
      <c r="H104" s="25"/>
      <c r="I104" s="31" t="str">
        <f t="shared" si="2"/>
        <v/>
      </c>
    </row>
    <row r="105" ht="19.5" customHeight="1">
      <c r="A105" s="29">
        <v>88.0</v>
      </c>
      <c r="B105" s="22"/>
      <c r="C105" s="22"/>
      <c r="D105" s="21"/>
      <c r="E105" s="22"/>
      <c r="F105" s="22"/>
      <c r="G105" s="21"/>
      <c r="H105" s="21"/>
      <c r="I105" s="32" t="str">
        <f t="shared" si="2"/>
        <v/>
      </c>
    </row>
    <row r="106" ht="19.5" customHeight="1">
      <c r="A106" s="30">
        <v>89.0</v>
      </c>
      <c r="B106" s="26"/>
      <c r="C106" s="26"/>
      <c r="D106" s="25"/>
      <c r="E106" s="26"/>
      <c r="F106" s="26"/>
      <c r="G106" s="25"/>
      <c r="H106" s="25"/>
      <c r="I106" s="31" t="str">
        <f t="shared" si="2"/>
        <v/>
      </c>
    </row>
    <row r="107" ht="19.5" customHeight="1">
      <c r="A107" s="29">
        <v>90.0</v>
      </c>
      <c r="B107" s="22"/>
      <c r="C107" s="22"/>
      <c r="D107" s="21"/>
      <c r="E107" s="22"/>
      <c r="F107" s="22"/>
      <c r="G107" s="21"/>
      <c r="H107" s="21"/>
      <c r="I107" s="32" t="str">
        <f t="shared" si="2"/>
        <v/>
      </c>
    </row>
    <row r="108" ht="19.5" customHeight="1">
      <c r="A108" s="30">
        <v>91.0</v>
      </c>
      <c r="B108" s="26"/>
      <c r="C108" s="26"/>
      <c r="D108" s="25"/>
      <c r="E108" s="26"/>
      <c r="F108" s="26"/>
      <c r="G108" s="25"/>
      <c r="H108" s="25"/>
      <c r="I108" s="31" t="str">
        <f t="shared" si="2"/>
        <v/>
      </c>
    </row>
    <row r="109" ht="19.5" customHeight="1">
      <c r="A109" s="29">
        <v>92.0</v>
      </c>
      <c r="B109" s="22"/>
      <c r="C109" s="22"/>
      <c r="D109" s="21"/>
      <c r="E109" s="22"/>
      <c r="F109" s="22"/>
      <c r="G109" s="21"/>
      <c r="H109" s="21"/>
      <c r="I109" s="32" t="str">
        <f t="shared" si="2"/>
        <v/>
      </c>
    </row>
    <row r="110" ht="19.5" customHeight="1">
      <c r="A110" s="30">
        <v>93.0</v>
      </c>
      <c r="B110" s="26"/>
      <c r="C110" s="26"/>
      <c r="D110" s="25"/>
      <c r="E110" s="26"/>
      <c r="F110" s="26"/>
      <c r="G110" s="25"/>
      <c r="H110" s="25"/>
      <c r="I110" s="31" t="str">
        <f t="shared" si="2"/>
        <v/>
      </c>
    </row>
    <row r="111" ht="19.5" customHeight="1">
      <c r="A111" s="29">
        <v>94.0</v>
      </c>
      <c r="B111" s="22"/>
      <c r="C111" s="22"/>
      <c r="D111" s="21"/>
      <c r="E111" s="22"/>
      <c r="F111" s="22"/>
      <c r="G111" s="21"/>
      <c r="H111" s="21"/>
      <c r="I111" s="32" t="str">
        <f t="shared" si="2"/>
        <v/>
      </c>
    </row>
    <row r="112" ht="19.5" customHeight="1">
      <c r="A112" s="30">
        <v>95.0</v>
      </c>
      <c r="B112" s="26"/>
      <c r="C112" s="26"/>
      <c r="D112" s="25"/>
      <c r="E112" s="26"/>
      <c r="F112" s="26"/>
      <c r="G112" s="25"/>
      <c r="H112" s="25"/>
      <c r="I112" s="31" t="str">
        <f t="shared" si="2"/>
        <v/>
      </c>
    </row>
    <row r="113" ht="19.5" customHeight="1">
      <c r="A113" s="29">
        <v>96.0</v>
      </c>
      <c r="B113" s="22"/>
      <c r="C113" s="22"/>
      <c r="D113" s="21"/>
      <c r="E113" s="22"/>
      <c r="F113" s="22"/>
      <c r="G113" s="21"/>
      <c r="H113" s="21"/>
      <c r="I113" s="32" t="str">
        <f t="shared" si="2"/>
        <v/>
      </c>
    </row>
    <row r="114" ht="19.5" customHeight="1">
      <c r="A114" s="30">
        <v>97.0</v>
      </c>
      <c r="B114" s="26"/>
      <c r="C114" s="26"/>
      <c r="D114" s="25"/>
      <c r="E114" s="26"/>
      <c r="F114" s="26"/>
      <c r="G114" s="25"/>
      <c r="H114" s="25"/>
      <c r="I114" s="31" t="str">
        <f t="shared" si="2"/>
        <v/>
      </c>
    </row>
    <row r="115" ht="19.5" customHeight="1">
      <c r="A115" s="29">
        <v>98.0</v>
      </c>
      <c r="B115" s="22"/>
      <c r="C115" s="22"/>
      <c r="D115" s="21"/>
      <c r="E115" s="22"/>
      <c r="F115" s="22"/>
      <c r="G115" s="21"/>
      <c r="H115" s="21"/>
      <c r="I115" s="32" t="str">
        <f t="shared" si="2"/>
        <v/>
      </c>
    </row>
    <row r="116" ht="19.5" customHeight="1">
      <c r="A116" s="30">
        <v>99.0</v>
      </c>
      <c r="B116" s="26"/>
      <c r="C116" s="26"/>
      <c r="D116" s="25"/>
      <c r="E116" s="26"/>
      <c r="F116" s="26"/>
      <c r="G116" s="25"/>
      <c r="H116" s="25"/>
      <c r="I116" s="31" t="str">
        <f t="shared" si="2"/>
        <v/>
      </c>
    </row>
    <row r="117" ht="19.5" customHeight="1">
      <c r="A117" s="29">
        <v>100.0</v>
      </c>
      <c r="B117" s="22"/>
      <c r="C117" s="22"/>
      <c r="D117" s="21"/>
      <c r="E117" s="22"/>
      <c r="F117" s="22"/>
      <c r="G117" s="21"/>
      <c r="H117" s="21"/>
      <c r="I117" s="32" t="str">
        <f t="shared" si="2"/>
        <v/>
      </c>
    </row>
    <row r="118" ht="25.5" customHeight="1">
      <c r="A118" s="33" t="s">
        <v>273</v>
      </c>
      <c r="B118" s="19"/>
      <c r="C118" s="19"/>
      <c r="D118" s="19"/>
      <c r="E118" s="19"/>
      <c r="F118" s="34"/>
      <c r="G118" s="35"/>
      <c r="H118" s="35"/>
      <c r="I118" s="36">
        <f>SUM(I8:I117)</f>
        <v>32710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I2"/>
    <mergeCell ref="A3:I3"/>
    <mergeCell ref="A4:I4"/>
    <mergeCell ref="A118:F1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A2B8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0"/>
    <col customWidth="1" min="2" max="2" width="26.0"/>
    <col customWidth="1" min="3" max="3" width="14.0"/>
    <col customWidth="1" min="4" max="4" width="20.0"/>
    <col customWidth="1" min="5" max="6" width="26.0"/>
    <col customWidth="1" min="7" max="7" width="18.0"/>
    <col customWidth="1" min="8" max="8" width="16.0"/>
    <col customWidth="1" min="9" max="9" width="20.0"/>
    <col customWidth="1" min="10" max="11" width="16.0"/>
    <col customWidth="1" min="12" max="13" width="14.0"/>
    <col customWidth="1" min="14" max="14" width="20.0"/>
    <col customWidth="1" min="15" max="26" width="8.71"/>
  </cols>
  <sheetData>
    <row r="1" ht="6.0" customHeight="1"/>
    <row r="2" ht="39.75" customHeight="1">
      <c r="A2" s="1" t="s">
        <v>274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9.5" customHeight="1">
      <c r="A3" s="4" t="s">
        <v>275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9.5" customHeight="1">
      <c r="A4" s="5" t="s">
        <v>276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7" ht="18.0" customHeight="1">
      <c r="A7" s="17"/>
      <c r="B7" s="18" t="s">
        <v>277</v>
      </c>
      <c r="C7" s="19"/>
      <c r="D7" s="19"/>
      <c r="E7" s="20"/>
      <c r="F7" s="18" t="s">
        <v>278</v>
      </c>
      <c r="G7" s="20"/>
      <c r="H7" s="18" t="s">
        <v>279</v>
      </c>
      <c r="I7" s="19"/>
      <c r="J7" s="20"/>
      <c r="K7" s="18" t="s">
        <v>280</v>
      </c>
      <c r="L7" s="20"/>
      <c r="M7" s="18" t="s">
        <v>281</v>
      </c>
      <c r="N7" s="20"/>
    </row>
    <row r="8" ht="36.0" customHeight="1">
      <c r="A8" s="17" t="s">
        <v>3</v>
      </c>
      <c r="B8" s="17" t="s">
        <v>282</v>
      </c>
      <c r="C8" s="17" t="s">
        <v>283</v>
      </c>
      <c r="D8" s="17" t="s">
        <v>284</v>
      </c>
      <c r="E8" s="17" t="s">
        <v>285</v>
      </c>
      <c r="F8" s="17" t="s">
        <v>286</v>
      </c>
      <c r="G8" s="17" t="s">
        <v>287</v>
      </c>
      <c r="H8" s="17" t="s">
        <v>288</v>
      </c>
      <c r="I8" s="17" t="s">
        <v>289</v>
      </c>
      <c r="J8" s="17" t="s">
        <v>290</v>
      </c>
      <c r="K8" s="17" t="s">
        <v>291</v>
      </c>
      <c r="L8" s="17" t="s">
        <v>292</v>
      </c>
      <c r="M8" s="17" t="s">
        <v>293</v>
      </c>
      <c r="N8" s="17" t="s">
        <v>294</v>
      </c>
    </row>
    <row r="9" ht="19.5" customHeight="1">
      <c r="A9" s="21">
        <v>1.0</v>
      </c>
      <c r="B9" s="22" t="s">
        <v>295</v>
      </c>
      <c r="C9" s="21" t="s">
        <v>296</v>
      </c>
      <c r="D9" s="22" t="s">
        <v>297</v>
      </c>
      <c r="E9" s="22" t="s">
        <v>298</v>
      </c>
      <c r="F9" s="22" t="s">
        <v>299</v>
      </c>
      <c r="G9" s="22" t="s">
        <v>300</v>
      </c>
      <c r="H9" s="22" t="s">
        <v>301</v>
      </c>
      <c r="I9" s="22"/>
      <c r="J9" s="22" t="s">
        <v>302</v>
      </c>
      <c r="K9" s="22" t="s">
        <v>211</v>
      </c>
      <c r="L9" s="22"/>
      <c r="M9" s="21"/>
      <c r="N9" s="21"/>
    </row>
    <row r="10" ht="19.5" customHeight="1">
      <c r="A10" s="25">
        <v>2.0</v>
      </c>
      <c r="B10" s="26" t="s">
        <v>303</v>
      </c>
      <c r="C10" s="25" t="s">
        <v>296</v>
      </c>
      <c r="D10" s="26" t="s">
        <v>304</v>
      </c>
      <c r="E10" s="26"/>
      <c r="F10" s="26"/>
      <c r="G10" s="26" t="s">
        <v>300</v>
      </c>
      <c r="H10" s="26" t="s">
        <v>301</v>
      </c>
      <c r="I10" s="26"/>
      <c r="J10" s="26"/>
      <c r="K10" s="26" t="s">
        <v>211</v>
      </c>
      <c r="L10" s="26"/>
      <c r="M10" s="25"/>
      <c r="N10" s="25"/>
    </row>
    <row r="11" ht="19.5" customHeight="1">
      <c r="A11" s="37">
        <v>3.0</v>
      </c>
      <c r="B11" s="38" t="s">
        <v>305</v>
      </c>
      <c r="C11" s="37" t="s">
        <v>306</v>
      </c>
      <c r="D11" s="38" t="s">
        <v>307</v>
      </c>
      <c r="E11" s="38" t="s">
        <v>308</v>
      </c>
      <c r="F11" s="38" t="s">
        <v>309</v>
      </c>
      <c r="G11" s="38" t="s">
        <v>310</v>
      </c>
      <c r="H11" s="38" t="s">
        <v>301</v>
      </c>
      <c r="I11" s="38" t="s">
        <v>311</v>
      </c>
      <c r="J11" s="38" t="s">
        <v>312</v>
      </c>
      <c r="K11" s="38" t="s">
        <v>211</v>
      </c>
      <c r="L11" s="38" t="s">
        <v>313</v>
      </c>
      <c r="M11" s="39">
        <v>200000.0</v>
      </c>
      <c r="N11" s="37">
        <v>30.0</v>
      </c>
    </row>
    <row r="12" ht="19.5" customHeight="1">
      <c r="A12" s="37">
        <v>4.0</v>
      </c>
      <c r="B12" s="38" t="s">
        <v>314</v>
      </c>
      <c r="C12" s="37" t="s">
        <v>306</v>
      </c>
      <c r="D12" s="38" t="s">
        <v>315</v>
      </c>
      <c r="E12" s="38" t="s">
        <v>316</v>
      </c>
      <c r="F12" s="38" t="s">
        <v>317</v>
      </c>
      <c r="G12" s="38" t="s">
        <v>318</v>
      </c>
      <c r="H12" s="38" t="s">
        <v>301</v>
      </c>
      <c r="I12" s="38" t="s">
        <v>319</v>
      </c>
      <c r="J12" s="38" t="s">
        <v>320</v>
      </c>
      <c r="K12" s="38" t="s">
        <v>211</v>
      </c>
      <c r="L12" s="38" t="s">
        <v>321</v>
      </c>
      <c r="M12" s="39">
        <v>500000.0</v>
      </c>
      <c r="N12" s="37">
        <v>45.0</v>
      </c>
    </row>
    <row r="13" ht="19.5" customHeight="1">
      <c r="A13" s="21">
        <v>5.0</v>
      </c>
      <c r="B13" s="22" t="s">
        <v>322</v>
      </c>
      <c r="C13" s="21" t="s">
        <v>296</v>
      </c>
      <c r="D13" s="22" t="s">
        <v>323</v>
      </c>
      <c r="E13" s="22"/>
      <c r="F13" s="22"/>
      <c r="G13" s="22"/>
      <c r="H13" s="22"/>
      <c r="I13" s="22"/>
      <c r="J13" s="22"/>
      <c r="K13" s="22" t="s">
        <v>211</v>
      </c>
      <c r="L13" s="22"/>
      <c r="M13" s="21"/>
      <c r="N13" s="21"/>
    </row>
    <row r="14" ht="19.5" customHeight="1">
      <c r="A14" s="30">
        <v>1.0</v>
      </c>
      <c r="B14" s="26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5"/>
      <c r="N14" s="25"/>
    </row>
    <row r="15" ht="19.5" customHeight="1">
      <c r="A15" s="29">
        <v>2.0</v>
      </c>
      <c r="B15" s="22"/>
      <c r="C15" s="21"/>
      <c r="D15" s="22"/>
      <c r="E15" s="22"/>
      <c r="F15" s="22"/>
      <c r="G15" s="22"/>
      <c r="H15" s="22"/>
      <c r="I15" s="22"/>
      <c r="J15" s="22"/>
      <c r="K15" s="22"/>
      <c r="L15" s="22"/>
      <c r="M15" s="21"/>
      <c r="N15" s="21"/>
    </row>
    <row r="16" ht="19.5" customHeight="1">
      <c r="A16" s="30">
        <v>3.0</v>
      </c>
      <c r="B16" s="26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5"/>
      <c r="N16" s="25"/>
    </row>
    <row r="17" ht="19.5" customHeight="1">
      <c r="A17" s="29">
        <v>4.0</v>
      </c>
      <c r="B17" s="22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1"/>
      <c r="N17" s="21"/>
    </row>
    <row r="18" ht="19.5" customHeight="1">
      <c r="A18" s="30">
        <v>5.0</v>
      </c>
      <c r="B18" s="26"/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5"/>
      <c r="N18" s="25"/>
    </row>
    <row r="19" ht="19.5" customHeight="1">
      <c r="A19" s="29">
        <v>6.0</v>
      </c>
      <c r="B19" s="22"/>
      <c r="C19" s="21"/>
      <c r="D19" s="22"/>
      <c r="E19" s="22"/>
      <c r="F19" s="22"/>
      <c r="G19" s="22"/>
      <c r="H19" s="22"/>
      <c r="I19" s="22"/>
      <c r="J19" s="22"/>
      <c r="K19" s="22"/>
      <c r="L19" s="22"/>
      <c r="M19" s="21"/>
      <c r="N19" s="21"/>
    </row>
    <row r="20" ht="19.5" customHeight="1">
      <c r="A20" s="30">
        <v>7.0</v>
      </c>
      <c r="B20" s="26"/>
      <c r="C20" s="25"/>
      <c r="D20" s="26"/>
      <c r="E20" s="26"/>
      <c r="F20" s="26"/>
      <c r="G20" s="26"/>
      <c r="H20" s="26"/>
      <c r="I20" s="26"/>
      <c r="J20" s="26"/>
      <c r="K20" s="26"/>
      <c r="L20" s="26"/>
      <c r="M20" s="25"/>
      <c r="N20" s="25"/>
    </row>
    <row r="21" ht="19.5" customHeight="1">
      <c r="A21" s="29">
        <v>8.0</v>
      </c>
      <c r="B21" s="22"/>
      <c r="C21" s="21"/>
      <c r="D21" s="22"/>
      <c r="E21" s="22"/>
      <c r="F21" s="22"/>
      <c r="G21" s="22"/>
      <c r="H21" s="22"/>
      <c r="I21" s="22"/>
      <c r="J21" s="22"/>
      <c r="K21" s="22"/>
      <c r="L21" s="22"/>
      <c r="M21" s="21"/>
      <c r="N21" s="21"/>
    </row>
    <row r="22" ht="19.5" customHeight="1">
      <c r="A22" s="30">
        <v>9.0</v>
      </c>
      <c r="B22" s="26"/>
      <c r="C22" s="25"/>
      <c r="D22" s="26"/>
      <c r="E22" s="26"/>
      <c r="F22" s="26"/>
      <c r="G22" s="26"/>
      <c r="H22" s="26"/>
      <c r="I22" s="26"/>
      <c r="J22" s="26"/>
      <c r="K22" s="26"/>
      <c r="L22" s="26"/>
      <c r="M22" s="25"/>
      <c r="N22" s="25"/>
    </row>
    <row r="23" ht="19.5" customHeight="1">
      <c r="A23" s="29">
        <v>10.0</v>
      </c>
      <c r="B23" s="22"/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1"/>
      <c r="N23" s="21"/>
    </row>
    <row r="24" ht="19.5" customHeight="1">
      <c r="A24" s="30">
        <v>11.0</v>
      </c>
      <c r="B24" s="26"/>
      <c r="C24" s="25"/>
      <c r="D24" s="26"/>
      <c r="E24" s="26"/>
      <c r="F24" s="26"/>
      <c r="G24" s="26"/>
      <c r="H24" s="26"/>
      <c r="I24" s="26"/>
      <c r="J24" s="26"/>
      <c r="K24" s="26"/>
      <c r="L24" s="26"/>
      <c r="M24" s="25"/>
      <c r="N24" s="25"/>
    </row>
    <row r="25" ht="19.5" customHeight="1">
      <c r="A25" s="29">
        <v>12.0</v>
      </c>
      <c r="B25" s="22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1"/>
      <c r="N25" s="21"/>
    </row>
    <row r="26" ht="19.5" customHeight="1">
      <c r="A26" s="30">
        <v>13.0</v>
      </c>
      <c r="B26" s="26"/>
      <c r="C26" s="25"/>
      <c r="D26" s="26"/>
      <c r="E26" s="26"/>
      <c r="F26" s="26"/>
      <c r="G26" s="26"/>
      <c r="H26" s="26"/>
      <c r="I26" s="26"/>
      <c r="J26" s="26"/>
      <c r="K26" s="26"/>
      <c r="L26" s="26"/>
      <c r="M26" s="25"/>
      <c r="N26" s="25"/>
    </row>
    <row r="27" ht="19.5" customHeight="1">
      <c r="A27" s="29">
        <v>14.0</v>
      </c>
      <c r="B27" s="22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1"/>
      <c r="N27" s="21"/>
    </row>
    <row r="28" ht="19.5" customHeight="1">
      <c r="A28" s="30">
        <v>15.0</v>
      </c>
      <c r="B28" s="26"/>
      <c r="C28" s="25"/>
      <c r="D28" s="26"/>
      <c r="E28" s="26"/>
      <c r="F28" s="26"/>
      <c r="G28" s="26"/>
      <c r="H28" s="26"/>
      <c r="I28" s="26"/>
      <c r="J28" s="26"/>
      <c r="K28" s="26"/>
      <c r="L28" s="26"/>
      <c r="M28" s="25"/>
      <c r="N28" s="25"/>
    </row>
    <row r="29" ht="19.5" customHeight="1">
      <c r="A29" s="29">
        <v>16.0</v>
      </c>
      <c r="B29" s="22"/>
      <c r="C29" s="21"/>
      <c r="D29" s="22"/>
      <c r="E29" s="22"/>
      <c r="F29" s="22"/>
      <c r="G29" s="22"/>
      <c r="H29" s="22"/>
      <c r="I29" s="22"/>
      <c r="J29" s="22"/>
      <c r="K29" s="22"/>
      <c r="L29" s="22"/>
      <c r="M29" s="21"/>
      <c r="N29" s="21"/>
    </row>
    <row r="30" ht="19.5" customHeight="1">
      <c r="A30" s="30">
        <v>17.0</v>
      </c>
      <c r="B30" s="26"/>
      <c r="C30" s="25"/>
      <c r="D30" s="26"/>
      <c r="E30" s="26"/>
      <c r="F30" s="26"/>
      <c r="G30" s="26"/>
      <c r="H30" s="26"/>
      <c r="I30" s="26"/>
      <c r="J30" s="26"/>
      <c r="K30" s="26"/>
      <c r="L30" s="26"/>
      <c r="M30" s="25"/>
      <c r="N30" s="25"/>
    </row>
    <row r="31" ht="19.5" customHeight="1">
      <c r="A31" s="29">
        <v>18.0</v>
      </c>
      <c r="B31" s="22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1"/>
      <c r="N31" s="21"/>
    </row>
    <row r="32" ht="19.5" customHeight="1">
      <c r="A32" s="30">
        <v>19.0</v>
      </c>
      <c r="B32" s="26"/>
      <c r="C32" s="25"/>
      <c r="D32" s="26"/>
      <c r="E32" s="26"/>
      <c r="F32" s="26"/>
      <c r="G32" s="26"/>
      <c r="H32" s="26"/>
      <c r="I32" s="26"/>
      <c r="J32" s="26"/>
      <c r="K32" s="26"/>
      <c r="L32" s="26"/>
      <c r="M32" s="25"/>
      <c r="N32" s="25"/>
    </row>
    <row r="33" ht="19.5" customHeight="1">
      <c r="A33" s="29">
        <v>20.0</v>
      </c>
      <c r="B33" s="22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1"/>
      <c r="N33" s="21"/>
    </row>
    <row r="34" ht="19.5" customHeight="1">
      <c r="A34" s="30">
        <v>21.0</v>
      </c>
      <c r="B34" s="26"/>
      <c r="C34" s="25"/>
      <c r="D34" s="26"/>
      <c r="E34" s="26"/>
      <c r="F34" s="26"/>
      <c r="G34" s="26"/>
      <c r="H34" s="26"/>
      <c r="I34" s="26"/>
      <c r="J34" s="26"/>
      <c r="K34" s="26"/>
      <c r="L34" s="26"/>
      <c r="M34" s="25"/>
      <c r="N34" s="25"/>
    </row>
    <row r="35" ht="19.5" customHeight="1">
      <c r="A35" s="29">
        <v>22.0</v>
      </c>
      <c r="B35" s="22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1"/>
      <c r="N35" s="21"/>
    </row>
    <row r="36" ht="19.5" customHeight="1">
      <c r="A36" s="30">
        <v>23.0</v>
      </c>
      <c r="B36" s="26"/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5"/>
      <c r="N36" s="25"/>
    </row>
    <row r="37" ht="19.5" customHeight="1">
      <c r="A37" s="29">
        <v>24.0</v>
      </c>
      <c r="B37" s="22"/>
      <c r="C37" s="21"/>
      <c r="D37" s="22"/>
      <c r="E37" s="22"/>
      <c r="F37" s="22"/>
      <c r="G37" s="22"/>
      <c r="H37" s="22"/>
      <c r="I37" s="22"/>
      <c r="J37" s="22"/>
      <c r="K37" s="22"/>
      <c r="L37" s="22"/>
      <c r="M37" s="21"/>
      <c r="N37" s="21"/>
    </row>
    <row r="38" ht="19.5" customHeight="1">
      <c r="A38" s="30">
        <v>25.0</v>
      </c>
      <c r="B38" s="26"/>
      <c r="C38" s="25"/>
      <c r="D38" s="26"/>
      <c r="E38" s="26"/>
      <c r="F38" s="26"/>
      <c r="G38" s="26"/>
      <c r="H38" s="26"/>
      <c r="I38" s="26"/>
      <c r="J38" s="26"/>
      <c r="K38" s="26"/>
      <c r="L38" s="26"/>
      <c r="M38" s="25"/>
      <c r="N38" s="25"/>
    </row>
    <row r="39" ht="19.5" customHeight="1">
      <c r="A39" s="29">
        <v>26.0</v>
      </c>
      <c r="B39" s="22"/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1"/>
      <c r="N39" s="21"/>
    </row>
    <row r="40" ht="19.5" customHeight="1">
      <c r="A40" s="30">
        <v>27.0</v>
      </c>
      <c r="B40" s="26"/>
      <c r="C40" s="25"/>
      <c r="D40" s="26"/>
      <c r="E40" s="26"/>
      <c r="F40" s="26"/>
      <c r="G40" s="26"/>
      <c r="H40" s="26"/>
      <c r="I40" s="26"/>
      <c r="J40" s="26"/>
      <c r="K40" s="26"/>
      <c r="L40" s="26"/>
      <c r="M40" s="25"/>
      <c r="N40" s="25"/>
    </row>
    <row r="41" ht="19.5" customHeight="1">
      <c r="A41" s="29">
        <v>28.0</v>
      </c>
      <c r="B41" s="22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1"/>
      <c r="N41" s="21"/>
    </row>
    <row r="42" ht="19.5" customHeight="1">
      <c r="A42" s="30">
        <v>29.0</v>
      </c>
      <c r="B42" s="26"/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5"/>
      <c r="N42" s="25"/>
    </row>
    <row r="43" ht="19.5" customHeight="1">
      <c r="A43" s="29">
        <v>30.0</v>
      </c>
      <c r="B43" s="22"/>
      <c r="C43" s="21"/>
      <c r="D43" s="22"/>
      <c r="E43" s="22"/>
      <c r="F43" s="22"/>
      <c r="G43" s="22"/>
      <c r="H43" s="22"/>
      <c r="I43" s="22"/>
      <c r="J43" s="22"/>
      <c r="K43" s="22"/>
      <c r="L43" s="22"/>
      <c r="M43" s="21"/>
      <c r="N43" s="21"/>
    </row>
    <row r="44" ht="19.5" customHeight="1">
      <c r="A44" s="30">
        <v>31.0</v>
      </c>
      <c r="B44" s="26"/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5"/>
      <c r="N44" s="25"/>
    </row>
    <row r="45" ht="19.5" customHeight="1">
      <c r="A45" s="29">
        <v>32.0</v>
      </c>
      <c r="B45" s="22"/>
      <c r="C45" s="21"/>
      <c r="D45" s="22"/>
      <c r="E45" s="22"/>
      <c r="F45" s="22"/>
      <c r="G45" s="22"/>
      <c r="H45" s="22"/>
      <c r="I45" s="22"/>
      <c r="J45" s="22"/>
      <c r="K45" s="22"/>
      <c r="L45" s="22"/>
      <c r="M45" s="21"/>
      <c r="N45" s="21"/>
    </row>
    <row r="46" ht="19.5" customHeight="1">
      <c r="A46" s="30">
        <v>33.0</v>
      </c>
      <c r="B46" s="26"/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5"/>
      <c r="N46" s="25"/>
    </row>
    <row r="47" ht="19.5" customHeight="1">
      <c r="A47" s="29">
        <v>34.0</v>
      </c>
      <c r="B47" s="22"/>
      <c r="C47" s="21"/>
      <c r="D47" s="22"/>
      <c r="E47" s="22"/>
      <c r="F47" s="22"/>
      <c r="G47" s="22"/>
      <c r="H47" s="22"/>
      <c r="I47" s="22"/>
      <c r="J47" s="22"/>
      <c r="K47" s="22"/>
      <c r="L47" s="22"/>
      <c r="M47" s="21"/>
      <c r="N47" s="21"/>
    </row>
    <row r="48" ht="19.5" customHeight="1">
      <c r="A48" s="30">
        <v>35.0</v>
      </c>
      <c r="B48" s="26"/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5"/>
      <c r="N48" s="25"/>
    </row>
    <row r="49" ht="19.5" customHeight="1">
      <c r="A49" s="29">
        <v>36.0</v>
      </c>
      <c r="B49" s="22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1"/>
      <c r="N49" s="21"/>
    </row>
    <row r="50" ht="19.5" customHeight="1">
      <c r="A50" s="30">
        <v>37.0</v>
      </c>
      <c r="B50" s="26"/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5"/>
      <c r="N50" s="25"/>
    </row>
    <row r="51" ht="19.5" customHeight="1">
      <c r="A51" s="29">
        <v>38.0</v>
      </c>
      <c r="B51" s="22"/>
      <c r="C51" s="21"/>
      <c r="D51" s="22"/>
      <c r="E51" s="22"/>
      <c r="F51" s="22"/>
      <c r="G51" s="22"/>
      <c r="H51" s="22"/>
      <c r="I51" s="22"/>
      <c r="J51" s="22"/>
      <c r="K51" s="22"/>
      <c r="L51" s="22"/>
      <c r="M51" s="21"/>
      <c r="N51" s="21"/>
    </row>
    <row r="52" ht="19.5" customHeight="1">
      <c r="A52" s="30">
        <v>39.0</v>
      </c>
      <c r="B52" s="26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5"/>
      <c r="N52" s="25"/>
    </row>
    <row r="53" ht="19.5" customHeight="1">
      <c r="A53" s="29">
        <v>40.0</v>
      </c>
      <c r="B53" s="22"/>
      <c r="C53" s="21"/>
      <c r="D53" s="22"/>
      <c r="E53" s="22"/>
      <c r="F53" s="22"/>
      <c r="G53" s="22"/>
      <c r="H53" s="22"/>
      <c r="I53" s="22"/>
      <c r="J53" s="22"/>
      <c r="K53" s="22"/>
      <c r="L53" s="22"/>
      <c r="M53" s="21"/>
      <c r="N53" s="21"/>
    </row>
    <row r="54" ht="19.5" customHeight="1">
      <c r="A54" s="30">
        <v>41.0</v>
      </c>
      <c r="B54" s="26"/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5"/>
      <c r="N54" s="25"/>
    </row>
    <row r="55" ht="19.5" customHeight="1">
      <c r="A55" s="29">
        <v>42.0</v>
      </c>
      <c r="B55" s="22"/>
      <c r="C55" s="21"/>
      <c r="D55" s="22"/>
      <c r="E55" s="22"/>
      <c r="F55" s="22"/>
      <c r="G55" s="22"/>
      <c r="H55" s="22"/>
      <c r="I55" s="22"/>
      <c r="J55" s="22"/>
      <c r="K55" s="22"/>
      <c r="L55" s="22"/>
      <c r="M55" s="21"/>
      <c r="N55" s="21"/>
    </row>
    <row r="56" ht="19.5" customHeight="1">
      <c r="A56" s="30">
        <v>43.0</v>
      </c>
      <c r="B56" s="26"/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5"/>
      <c r="N56" s="25"/>
    </row>
    <row r="57" ht="19.5" customHeight="1">
      <c r="A57" s="29">
        <v>44.0</v>
      </c>
      <c r="B57" s="22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/>
      <c r="N57" s="21"/>
    </row>
    <row r="58" ht="19.5" customHeight="1">
      <c r="A58" s="30">
        <v>45.0</v>
      </c>
      <c r="B58" s="26"/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5"/>
      <c r="N58" s="25"/>
    </row>
    <row r="59" ht="19.5" customHeight="1">
      <c r="A59" s="29">
        <v>46.0</v>
      </c>
      <c r="B59" s="22"/>
      <c r="C59" s="21"/>
      <c r="D59" s="22"/>
      <c r="E59" s="22"/>
      <c r="F59" s="22"/>
      <c r="G59" s="22"/>
      <c r="H59" s="22"/>
      <c r="I59" s="22"/>
      <c r="J59" s="22"/>
      <c r="K59" s="22"/>
      <c r="L59" s="22"/>
      <c r="M59" s="21"/>
      <c r="N59" s="21"/>
    </row>
    <row r="60" ht="19.5" customHeight="1">
      <c r="A60" s="30">
        <v>47.0</v>
      </c>
      <c r="B60" s="26"/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5"/>
      <c r="N60" s="25"/>
    </row>
    <row r="61" ht="19.5" customHeight="1">
      <c r="A61" s="29">
        <v>48.0</v>
      </c>
      <c r="B61" s="22"/>
      <c r="C61" s="21"/>
      <c r="D61" s="22"/>
      <c r="E61" s="22"/>
      <c r="F61" s="22"/>
      <c r="G61" s="22"/>
      <c r="H61" s="22"/>
      <c r="I61" s="22"/>
      <c r="J61" s="22"/>
      <c r="K61" s="22"/>
      <c r="L61" s="22"/>
      <c r="M61" s="21"/>
      <c r="N61" s="21"/>
    </row>
    <row r="62" ht="19.5" customHeight="1">
      <c r="A62" s="30">
        <v>49.0</v>
      </c>
      <c r="B62" s="26"/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5"/>
      <c r="N62" s="25"/>
    </row>
    <row r="63" ht="19.5" customHeight="1">
      <c r="A63" s="29">
        <v>50.0</v>
      </c>
      <c r="B63" s="22"/>
      <c r="C63" s="21"/>
      <c r="D63" s="22"/>
      <c r="E63" s="22"/>
      <c r="F63" s="22"/>
      <c r="G63" s="22"/>
      <c r="H63" s="22"/>
      <c r="I63" s="22"/>
      <c r="J63" s="22"/>
      <c r="K63" s="22"/>
      <c r="L63" s="22"/>
      <c r="M63" s="21"/>
      <c r="N63" s="21"/>
    </row>
    <row r="64" ht="19.5" customHeight="1">
      <c r="A64" s="30">
        <v>51.0</v>
      </c>
      <c r="B64" s="26"/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5"/>
      <c r="N64" s="25"/>
    </row>
    <row r="65" ht="19.5" customHeight="1">
      <c r="A65" s="29">
        <v>52.0</v>
      </c>
      <c r="B65" s="22"/>
      <c r="C65" s="21"/>
      <c r="D65" s="22"/>
      <c r="E65" s="22"/>
      <c r="F65" s="22"/>
      <c r="G65" s="22"/>
      <c r="H65" s="22"/>
      <c r="I65" s="22"/>
      <c r="J65" s="22"/>
      <c r="K65" s="22"/>
      <c r="L65" s="22"/>
      <c r="M65" s="21"/>
      <c r="N65" s="21"/>
    </row>
    <row r="66" ht="19.5" customHeight="1">
      <c r="A66" s="30">
        <v>53.0</v>
      </c>
      <c r="B66" s="26"/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5"/>
      <c r="N66" s="25"/>
    </row>
    <row r="67" ht="19.5" customHeight="1">
      <c r="A67" s="29">
        <v>54.0</v>
      </c>
      <c r="B67" s="22"/>
      <c r="C67" s="21"/>
      <c r="D67" s="22"/>
      <c r="E67" s="22"/>
      <c r="F67" s="22"/>
      <c r="G67" s="22"/>
      <c r="H67" s="22"/>
      <c r="I67" s="22"/>
      <c r="J67" s="22"/>
      <c r="K67" s="22"/>
      <c r="L67" s="22"/>
      <c r="M67" s="21"/>
      <c r="N67" s="21"/>
    </row>
    <row r="68" ht="19.5" customHeight="1">
      <c r="A68" s="30">
        <v>55.0</v>
      </c>
      <c r="B68" s="26"/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25"/>
      <c r="N68" s="25"/>
    </row>
    <row r="69" ht="19.5" customHeight="1">
      <c r="A69" s="29">
        <v>56.0</v>
      </c>
      <c r="B69" s="22"/>
      <c r="C69" s="21"/>
      <c r="D69" s="22"/>
      <c r="E69" s="22"/>
      <c r="F69" s="22"/>
      <c r="G69" s="22"/>
      <c r="H69" s="22"/>
      <c r="I69" s="22"/>
      <c r="J69" s="22"/>
      <c r="K69" s="22"/>
      <c r="L69" s="22"/>
      <c r="M69" s="21"/>
      <c r="N69" s="21"/>
    </row>
    <row r="70" ht="19.5" customHeight="1">
      <c r="A70" s="30">
        <v>57.0</v>
      </c>
      <c r="B70" s="26"/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25"/>
      <c r="N70" s="25"/>
    </row>
    <row r="71" ht="19.5" customHeight="1">
      <c r="A71" s="29">
        <v>58.0</v>
      </c>
      <c r="B71" s="22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1"/>
      <c r="N71" s="21"/>
    </row>
    <row r="72" ht="19.5" customHeight="1">
      <c r="A72" s="30">
        <v>59.0</v>
      </c>
      <c r="B72" s="26"/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5"/>
      <c r="N72" s="25"/>
    </row>
    <row r="73" ht="19.5" customHeight="1">
      <c r="A73" s="29">
        <v>60.0</v>
      </c>
      <c r="B73" s="22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1"/>
      <c r="N73" s="21"/>
    </row>
    <row r="74" ht="19.5" customHeight="1">
      <c r="A74" s="30">
        <v>61.0</v>
      </c>
      <c r="B74" s="26"/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5"/>
      <c r="N74" s="25"/>
    </row>
    <row r="75" ht="19.5" customHeight="1">
      <c r="A75" s="29">
        <v>62.0</v>
      </c>
      <c r="B75" s="22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1"/>
      <c r="N75" s="21"/>
    </row>
    <row r="76" ht="19.5" customHeight="1">
      <c r="A76" s="30">
        <v>63.0</v>
      </c>
      <c r="B76" s="26"/>
      <c r="C76" s="25"/>
      <c r="D76" s="26"/>
      <c r="E76" s="26"/>
      <c r="F76" s="26"/>
      <c r="G76" s="26"/>
      <c r="H76" s="26"/>
      <c r="I76" s="26"/>
      <c r="J76" s="26"/>
      <c r="K76" s="26"/>
      <c r="L76" s="26"/>
      <c r="M76" s="25"/>
      <c r="N76" s="25"/>
    </row>
    <row r="77" ht="19.5" customHeight="1">
      <c r="A77" s="29">
        <v>64.0</v>
      </c>
      <c r="B77" s="22"/>
      <c r="C77" s="21"/>
      <c r="D77" s="22"/>
      <c r="E77" s="22"/>
      <c r="F77" s="22"/>
      <c r="G77" s="22"/>
      <c r="H77" s="22"/>
      <c r="I77" s="22"/>
      <c r="J77" s="22"/>
      <c r="K77" s="22"/>
      <c r="L77" s="22"/>
      <c r="M77" s="21"/>
      <c r="N77" s="21"/>
    </row>
    <row r="78" ht="19.5" customHeight="1">
      <c r="A78" s="30">
        <v>65.0</v>
      </c>
      <c r="B78" s="26"/>
      <c r="C78" s="25"/>
      <c r="D78" s="26"/>
      <c r="E78" s="26"/>
      <c r="F78" s="26"/>
      <c r="G78" s="26"/>
      <c r="H78" s="26"/>
      <c r="I78" s="26"/>
      <c r="J78" s="26"/>
      <c r="K78" s="26"/>
      <c r="L78" s="26"/>
      <c r="M78" s="25"/>
      <c r="N78" s="25"/>
    </row>
    <row r="79" ht="19.5" customHeight="1">
      <c r="A79" s="29">
        <v>66.0</v>
      </c>
      <c r="B79" s="22"/>
      <c r="C79" s="21"/>
      <c r="D79" s="22"/>
      <c r="E79" s="22"/>
      <c r="F79" s="22"/>
      <c r="G79" s="22"/>
      <c r="H79" s="22"/>
      <c r="I79" s="22"/>
      <c r="J79" s="22"/>
      <c r="K79" s="22"/>
      <c r="L79" s="22"/>
      <c r="M79" s="21"/>
      <c r="N79" s="21"/>
    </row>
    <row r="80" ht="19.5" customHeight="1">
      <c r="A80" s="30">
        <v>67.0</v>
      </c>
      <c r="B80" s="26"/>
      <c r="C80" s="25"/>
      <c r="D80" s="26"/>
      <c r="E80" s="26"/>
      <c r="F80" s="26"/>
      <c r="G80" s="26"/>
      <c r="H80" s="26"/>
      <c r="I80" s="26"/>
      <c r="J80" s="26"/>
      <c r="K80" s="26"/>
      <c r="L80" s="26"/>
      <c r="M80" s="25"/>
      <c r="N80" s="25"/>
    </row>
    <row r="81" ht="19.5" customHeight="1">
      <c r="A81" s="29">
        <v>68.0</v>
      </c>
      <c r="B81" s="22"/>
      <c r="C81" s="21"/>
      <c r="D81" s="22"/>
      <c r="E81" s="22"/>
      <c r="F81" s="22"/>
      <c r="G81" s="22"/>
      <c r="H81" s="22"/>
      <c r="I81" s="22"/>
      <c r="J81" s="22"/>
      <c r="K81" s="22"/>
      <c r="L81" s="22"/>
      <c r="M81" s="21"/>
      <c r="N81" s="21"/>
    </row>
    <row r="82" ht="19.5" customHeight="1">
      <c r="A82" s="30">
        <v>69.0</v>
      </c>
      <c r="B82" s="26"/>
      <c r="C82" s="25"/>
      <c r="D82" s="26"/>
      <c r="E82" s="26"/>
      <c r="F82" s="26"/>
      <c r="G82" s="26"/>
      <c r="H82" s="26"/>
      <c r="I82" s="26"/>
      <c r="J82" s="26"/>
      <c r="K82" s="26"/>
      <c r="L82" s="26"/>
      <c r="M82" s="25"/>
      <c r="N82" s="25"/>
    </row>
    <row r="83" ht="19.5" customHeight="1">
      <c r="A83" s="29">
        <v>70.0</v>
      </c>
      <c r="B83" s="22"/>
      <c r="C83" s="21"/>
      <c r="D83" s="22"/>
      <c r="E83" s="22"/>
      <c r="F83" s="22"/>
      <c r="G83" s="22"/>
      <c r="H83" s="22"/>
      <c r="I83" s="22"/>
      <c r="J83" s="22"/>
      <c r="K83" s="22"/>
      <c r="L83" s="22"/>
      <c r="M83" s="21"/>
      <c r="N83" s="21"/>
    </row>
    <row r="84" ht="19.5" customHeight="1">
      <c r="A84" s="30">
        <v>71.0</v>
      </c>
      <c r="B84" s="26"/>
      <c r="C84" s="25"/>
      <c r="D84" s="26"/>
      <c r="E84" s="26"/>
      <c r="F84" s="26"/>
      <c r="G84" s="26"/>
      <c r="H84" s="26"/>
      <c r="I84" s="26"/>
      <c r="J84" s="26"/>
      <c r="K84" s="26"/>
      <c r="L84" s="26"/>
      <c r="M84" s="25"/>
      <c r="N84" s="25"/>
    </row>
    <row r="85" ht="19.5" customHeight="1">
      <c r="A85" s="29">
        <v>72.0</v>
      </c>
      <c r="B85" s="22"/>
      <c r="C85" s="21"/>
      <c r="D85" s="22"/>
      <c r="E85" s="22"/>
      <c r="F85" s="22"/>
      <c r="G85" s="22"/>
      <c r="H85" s="22"/>
      <c r="I85" s="22"/>
      <c r="J85" s="22"/>
      <c r="K85" s="22"/>
      <c r="L85" s="22"/>
      <c r="M85" s="21"/>
      <c r="N85" s="21"/>
    </row>
    <row r="86" ht="19.5" customHeight="1">
      <c r="A86" s="30">
        <v>73.0</v>
      </c>
      <c r="B86" s="26"/>
      <c r="C86" s="25"/>
      <c r="D86" s="26"/>
      <c r="E86" s="26"/>
      <c r="F86" s="26"/>
      <c r="G86" s="26"/>
      <c r="H86" s="26"/>
      <c r="I86" s="26"/>
      <c r="J86" s="26"/>
      <c r="K86" s="26"/>
      <c r="L86" s="26"/>
      <c r="M86" s="25"/>
      <c r="N86" s="25"/>
    </row>
    <row r="87" ht="19.5" customHeight="1">
      <c r="A87" s="29">
        <v>74.0</v>
      </c>
      <c r="B87" s="22"/>
      <c r="C87" s="21"/>
      <c r="D87" s="22"/>
      <c r="E87" s="22"/>
      <c r="F87" s="22"/>
      <c r="G87" s="22"/>
      <c r="H87" s="22"/>
      <c r="I87" s="22"/>
      <c r="J87" s="22"/>
      <c r="K87" s="22"/>
      <c r="L87" s="22"/>
      <c r="M87" s="21"/>
      <c r="N87" s="21"/>
    </row>
    <row r="88" ht="19.5" customHeight="1">
      <c r="A88" s="30">
        <v>75.0</v>
      </c>
      <c r="B88" s="26"/>
      <c r="C88" s="25"/>
      <c r="D88" s="26"/>
      <c r="E88" s="26"/>
      <c r="F88" s="26"/>
      <c r="G88" s="26"/>
      <c r="H88" s="26"/>
      <c r="I88" s="26"/>
      <c r="J88" s="26"/>
      <c r="K88" s="26"/>
      <c r="L88" s="26"/>
      <c r="M88" s="25"/>
      <c r="N88" s="25"/>
    </row>
    <row r="89" ht="19.5" customHeight="1">
      <c r="A89" s="29">
        <v>76.0</v>
      </c>
      <c r="B89" s="22"/>
      <c r="C89" s="21"/>
      <c r="D89" s="22"/>
      <c r="E89" s="22"/>
      <c r="F89" s="22"/>
      <c r="G89" s="22"/>
      <c r="H89" s="22"/>
      <c r="I89" s="22"/>
      <c r="J89" s="22"/>
      <c r="K89" s="22"/>
      <c r="L89" s="22"/>
      <c r="M89" s="21"/>
      <c r="N89" s="21"/>
    </row>
    <row r="90" ht="19.5" customHeight="1">
      <c r="A90" s="30">
        <v>77.0</v>
      </c>
      <c r="B90" s="26"/>
      <c r="C90" s="25"/>
      <c r="D90" s="26"/>
      <c r="E90" s="26"/>
      <c r="F90" s="26"/>
      <c r="G90" s="26"/>
      <c r="H90" s="26"/>
      <c r="I90" s="26"/>
      <c r="J90" s="26"/>
      <c r="K90" s="26"/>
      <c r="L90" s="26"/>
      <c r="M90" s="25"/>
      <c r="N90" s="25"/>
    </row>
    <row r="91" ht="19.5" customHeight="1">
      <c r="A91" s="29">
        <v>78.0</v>
      </c>
      <c r="B91" s="22"/>
      <c r="C91" s="21"/>
      <c r="D91" s="22"/>
      <c r="E91" s="22"/>
      <c r="F91" s="22"/>
      <c r="G91" s="22"/>
      <c r="H91" s="22"/>
      <c r="I91" s="22"/>
      <c r="J91" s="22"/>
      <c r="K91" s="22"/>
      <c r="L91" s="22"/>
      <c r="M91" s="21"/>
      <c r="N91" s="21"/>
    </row>
    <row r="92" ht="19.5" customHeight="1">
      <c r="A92" s="30">
        <v>79.0</v>
      </c>
      <c r="B92" s="26"/>
      <c r="C92" s="25"/>
      <c r="D92" s="26"/>
      <c r="E92" s="26"/>
      <c r="F92" s="26"/>
      <c r="G92" s="26"/>
      <c r="H92" s="26"/>
      <c r="I92" s="26"/>
      <c r="J92" s="26"/>
      <c r="K92" s="26"/>
      <c r="L92" s="26"/>
      <c r="M92" s="25"/>
      <c r="N92" s="25"/>
    </row>
    <row r="93" ht="19.5" customHeight="1">
      <c r="A93" s="29">
        <v>80.0</v>
      </c>
      <c r="B93" s="22"/>
      <c r="C93" s="21"/>
      <c r="D93" s="22"/>
      <c r="E93" s="22"/>
      <c r="F93" s="22"/>
      <c r="G93" s="22"/>
      <c r="H93" s="22"/>
      <c r="I93" s="22"/>
      <c r="J93" s="22"/>
      <c r="K93" s="22"/>
      <c r="L93" s="22"/>
      <c r="M93" s="21"/>
      <c r="N93" s="21"/>
    </row>
    <row r="94" ht="19.5" customHeight="1">
      <c r="A94" s="30">
        <v>81.0</v>
      </c>
      <c r="B94" s="26"/>
      <c r="C94" s="25"/>
      <c r="D94" s="26"/>
      <c r="E94" s="26"/>
      <c r="F94" s="26"/>
      <c r="G94" s="26"/>
      <c r="H94" s="26"/>
      <c r="I94" s="26"/>
      <c r="J94" s="26"/>
      <c r="K94" s="26"/>
      <c r="L94" s="26"/>
      <c r="M94" s="25"/>
      <c r="N94" s="25"/>
    </row>
    <row r="95" ht="19.5" customHeight="1">
      <c r="A95" s="29">
        <v>82.0</v>
      </c>
      <c r="B95" s="22"/>
      <c r="C95" s="21"/>
      <c r="D95" s="22"/>
      <c r="E95" s="22"/>
      <c r="F95" s="22"/>
      <c r="G95" s="22"/>
      <c r="H95" s="22"/>
      <c r="I95" s="22"/>
      <c r="J95" s="22"/>
      <c r="K95" s="22"/>
      <c r="L95" s="22"/>
      <c r="M95" s="21"/>
      <c r="N95" s="21"/>
    </row>
    <row r="96" ht="19.5" customHeight="1">
      <c r="A96" s="30">
        <v>83.0</v>
      </c>
      <c r="B96" s="26"/>
      <c r="C96" s="25"/>
      <c r="D96" s="26"/>
      <c r="E96" s="26"/>
      <c r="F96" s="26"/>
      <c r="G96" s="26"/>
      <c r="H96" s="26"/>
      <c r="I96" s="26"/>
      <c r="J96" s="26"/>
      <c r="K96" s="26"/>
      <c r="L96" s="26"/>
      <c r="M96" s="25"/>
      <c r="N96" s="25"/>
    </row>
    <row r="97" ht="19.5" customHeight="1">
      <c r="A97" s="29">
        <v>84.0</v>
      </c>
      <c r="B97" s="22"/>
      <c r="C97" s="21"/>
      <c r="D97" s="22"/>
      <c r="E97" s="22"/>
      <c r="F97" s="22"/>
      <c r="G97" s="22"/>
      <c r="H97" s="22"/>
      <c r="I97" s="22"/>
      <c r="J97" s="22"/>
      <c r="K97" s="22"/>
      <c r="L97" s="22"/>
      <c r="M97" s="21"/>
      <c r="N97" s="21"/>
    </row>
    <row r="98" ht="19.5" customHeight="1">
      <c r="A98" s="30">
        <v>85.0</v>
      </c>
      <c r="B98" s="26"/>
      <c r="C98" s="25"/>
      <c r="D98" s="26"/>
      <c r="E98" s="26"/>
      <c r="F98" s="26"/>
      <c r="G98" s="26"/>
      <c r="H98" s="26"/>
      <c r="I98" s="26"/>
      <c r="J98" s="26"/>
      <c r="K98" s="26"/>
      <c r="L98" s="26"/>
      <c r="M98" s="25"/>
      <c r="N98" s="25"/>
    </row>
    <row r="99" ht="19.5" customHeight="1">
      <c r="A99" s="29">
        <v>86.0</v>
      </c>
      <c r="B99" s="22"/>
      <c r="C99" s="21"/>
      <c r="D99" s="22"/>
      <c r="E99" s="22"/>
      <c r="F99" s="22"/>
      <c r="G99" s="22"/>
      <c r="H99" s="22"/>
      <c r="I99" s="22"/>
      <c r="J99" s="22"/>
      <c r="K99" s="22"/>
      <c r="L99" s="22"/>
      <c r="M99" s="21"/>
      <c r="N99" s="21"/>
    </row>
    <row r="100" ht="19.5" customHeight="1">
      <c r="A100" s="30">
        <v>87.0</v>
      </c>
      <c r="B100" s="26"/>
      <c r="C100" s="25"/>
      <c r="D100" s="26"/>
      <c r="E100" s="26"/>
      <c r="F100" s="26"/>
      <c r="G100" s="26"/>
      <c r="H100" s="26"/>
      <c r="I100" s="26"/>
      <c r="J100" s="26"/>
      <c r="K100" s="26"/>
      <c r="L100" s="26"/>
      <c r="M100" s="25"/>
      <c r="N100" s="25"/>
    </row>
    <row r="101" ht="19.5" customHeight="1">
      <c r="A101" s="29">
        <v>88.0</v>
      </c>
      <c r="B101" s="22"/>
      <c r="C101" s="21"/>
      <c r="D101" s="22"/>
      <c r="E101" s="22"/>
      <c r="F101" s="22"/>
      <c r="G101" s="22"/>
      <c r="H101" s="22"/>
      <c r="I101" s="22"/>
      <c r="J101" s="22"/>
      <c r="K101" s="22"/>
      <c r="L101" s="22"/>
      <c r="M101" s="21"/>
      <c r="N101" s="21"/>
    </row>
    <row r="102" ht="19.5" customHeight="1">
      <c r="A102" s="30">
        <v>89.0</v>
      </c>
      <c r="B102" s="26"/>
      <c r="C102" s="25"/>
      <c r="D102" s="26"/>
      <c r="E102" s="26"/>
      <c r="F102" s="26"/>
      <c r="G102" s="26"/>
      <c r="H102" s="26"/>
      <c r="I102" s="26"/>
      <c r="J102" s="26"/>
      <c r="K102" s="26"/>
      <c r="L102" s="26"/>
      <c r="M102" s="25"/>
      <c r="N102" s="25"/>
    </row>
    <row r="103" ht="19.5" customHeight="1">
      <c r="A103" s="29">
        <v>90.0</v>
      </c>
      <c r="B103" s="22"/>
      <c r="C103" s="21"/>
      <c r="D103" s="22"/>
      <c r="E103" s="22"/>
      <c r="F103" s="22"/>
      <c r="G103" s="22"/>
      <c r="H103" s="22"/>
      <c r="I103" s="22"/>
      <c r="J103" s="22"/>
      <c r="K103" s="22"/>
      <c r="L103" s="22"/>
      <c r="M103" s="21"/>
      <c r="N103" s="21"/>
    </row>
    <row r="104" ht="19.5" customHeight="1">
      <c r="A104" s="30">
        <v>91.0</v>
      </c>
      <c r="B104" s="26"/>
      <c r="C104" s="25"/>
      <c r="D104" s="26"/>
      <c r="E104" s="26"/>
      <c r="F104" s="26"/>
      <c r="G104" s="26"/>
      <c r="H104" s="26"/>
      <c r="I104" s="26"/>
      <c r="J104" s="26"/>
      <c r="K104" s="26"/>
      <c r="L104" s="26"/>
      <c r="M104" s="25"/>
      <c r="N104" s="25"/>
    </row>
    <row r="105" ht="19.5" customHeight="1">
      <c r="A105" s="29">
        <v>92.0</v>
      </c>
      <c r="B105" s="22"/>
      <c r="C105" s="21"/>
      <c r="D105" s="22"/>
      <c r="E105" s="22"/>
      <c r="F105" s="22"/>
      <c r="G105" s="22"/>
      <c r="H105" s="22"/>
      <c r="I105" s="22"/>
      <c r="J105" s="22"/>
      <c r="K105" s="22"/>
      <c r="L105" s="22"/>
      <c r="M105" s="21"/>
      <c r="N105" s="21"/>
    </row>
    <row r="106" ht="19.5" customHeight="1">
      <c r="A106" s="30">
        <v>93.0</v>
      </c>
      <c r="B106" s="26"/>
      <c r="C106" s="25"/>
      <c r="D106" s="26"/>
      <c r="E106" s="26"/>
      <c r="F106" s="26"/>
      <c r="G106" s="26"/>
      <c r="H106" s="26"/>
      <c r="I106" s="26"/>
      <c r="J106" s="26"/>
      <c r="K106" s="26"/>
      <c r="L106" s="26"/>
      <c r="M106" s="25"/>
      <c r="N106" s="25"/>
    </row>
    <row r="107" ht="19.5" customHeight="1">
      <c r="A107" s="29">
        <v>94.0</v>
      </c>
      <c r="B107" s="22"/>
      <c r="C107" s="21"/>
      <c r="D107" s="22"/>
      <c r="E107" s="22"/>
      <c r="F107" s="22"/>
      <c r="G107" s="22"/>
      <c r="H107" s="22"/>
      <c r="I107" s="22"/>
      <c r="J107" s="22"/>
      <c r="K107" s="22"/>
      <c r="L107" s="22"/>
      <c r="M107" s="21"/>
      <c r="N107" s="21"/>
    </row>
    <row r="108" ht="19.5" customHeight="1">
      <c r="A108" s="30">
        <v>95.0</v>
      </c>
      <c r="B108" s="26"/>
      <c r="C108" s="25"/>
      <c r="D108" s="26"/>
      <c r="E108" s="26"/>
      <c r="F108" s="26"/>
      <c r="G108" s="26"/>
      <c r="H108" s="26"/>
      <c r="I108" s="26"/>
      <c r="J108" s="26"/>
      <c r="K108" s="26"/>
      <c r="L108" s="26"/>
      <c r="M108" s="25"/>
      <c r="N108" s="25"/>
    </row>
    <row r="109" ht="19.5" customHeight="1">
      <c r="A109" s="29">
        <v>96.0</v>
      </c>
      <c r="B109" s="22"/>
      <c r="C109" s="21"/>
      <c r="D109" s="22"/>
      <c r="E109" s="22"/>
      <c r="F109" s="22"/>
      <c r="G109" s="22"/>
      <c r="H109" s="22"/>
      <c r="I109" s="22"/>
      <c r="J109" s="22"/>
      <c r="K109" s="22"/>
      <c r="L109" s="22"/>
      <c r="M109" s="21"/>
      <c r="N109" s="21"/>
    </row>
    <row r="110" ht="19.5" customHeight="1">
      <c r="A110" s="30">
        <v>97.0</v>
      </c>
      <c r="B110" s="26"/>
      <c r="C110" s="25"/>
      <c r="D110" s="26"/>
      <c r="E110" s="26"/>
      <c r="F110" s="26"/>
      <c r="G110" s="26"/>
      <c r="H110" s="26"/>
      <c r="I110" s="26"/>
      <c r="J110" s="26"/>
      <c r="K110" s="26"/>
      <c r="L110" s="26"/>
      <c r="M110" s="25"/>
      <c r="N110" s="25"/>
    </row>
    <row r="111" ht="19.5" customHeight="1">
      <c r="A111" s="29">
        <v>98.0</v>
      </c>
      <c r="B111" s="22"/>
      <c r="C111" s="21"/>
      <c r="D111" s="22"/>
      <c r="E111" s="22"/>
      <c r="F111" s="22"/>
      <c r="G111" s="22"/>
      <c r="H111" s="22"/>
      <c r="I111" s="22"/>
      <c r="J111" s="22"/>
      <c r="K111" s="22"/>
      <c r="L111" s="22"/>
      <c r="M111" s="21"/>
      <c r="N111" s="21"/>
    </row>
    <row r="112" ht="19.5" customHeight="1">
      <c r="A112" s="30">
        <v>99.0</v>
      </c>
      <c r="B112" s="26"/>
      <c r="C112" s="25"/>
      <c r="D112" s="26"/>
      <c r="E112" s="26"/>
      <c r="F112" s="26"/>
      <c r="G112" s="26"/>
      <c r="H112" s="26"/>
      <c r="I112" s="26"/>
      <c r="J112" s="26"/>
      <c r="K112" s="26"/>
      <c r="L112" s="26"/>
      <c r="M112" s="25"/>
      <c r="N112" s="25"/>
    </row>
    <row r="113" ht="19.5" customHeight="1">
      <c r="A113" s="29">
        <v>100.0</v>
      </c>
      <c r="B113" s="22"/>
      <c r="C113" s="21"/>
      <c r="D113" s="22"/>
      <c r="E113" s="22"/>
      <c r="F113" s="22"/>
      <c r="G113" s="22"/>
      <c r="H113" s="22"/>
      <c r="I113" s="22"/>
      <c r="J113" s="22"/>
      <c r="K113" s="22"/>
      <c r="L113" s="22"/>
      <c r="M113" s="21"/>
      <c r="N113" s="21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N2"/>
    <mergeCell ref="A3:N3"/>
    <mergeCell ref="A4:N4"/>
    <mergeCell ref="B7:E7"/>
    <mergeCell ref="F7:G7"/>
    <mergeCell ref="H7:J7"/>
    <mergeCell ref="K7:L7"/>
    <mergeCell ref="M7:N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C757D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20.0"/>
    <col customWidth="1" min="4" max="4" width="16.0"/>
    <col customWidth="1" min="5" max="5" width="24.0"/>
    <col customWidth="1" min="6" max="6" width="30.0"/>
    <col customWidth="1" min="7" max="7" width="16.0"/>
    <col customWidth="1" min="8" max="8" width="18.0"/>
    <col customWidth="1" min="9" max="9" width="22.0"/>
    <col customWidth="1" min="10" max="10" width="18.0"/>
    <col customWidth="1" min="11" max="11" width="20.0"/>
    <col customWidth="1" min="12" max="26" width="8.71"/>
  </cols>
  <sheetData>
    <row r="1" ht="6.0" customHeight="1"/>
    <row r="2" ht="39.75" customHeight="1">
      <c r="A2" s="1" t="s">
        <v>324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9.5" customHeight="1">
      <c r="A3" s="4" t="s">
        <v>325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5" t="s">
        <v>326</v>
      </c>
      <c r="B4" s="2"/>
      <c r="C4" s="2"/>
      <c r="D4" s="2"/>
      <c r="E4" s="2"/>
      <c r="F4" s="2"/>
      <c r="G4" s="2"/>
      <c r="H4" s="2"/>
      <c r="I4" s="2"/>
      <c r="J4" s="2"/>
      <c r="K4" s="3"/>
    </row>
    <row r="7" ht="36.0" customHeight="1">
      <c r="A7" s="17" t="s">
        <v>3</v>
      </c>
      <c r="B7" s="17" t="s">
        <v>327</v>
      </c>
      <c r="C7" s="17" t="s">
        <v>328</v>
      </c>
      <c r="D7" s="17" t="s">
        <v>329</v>
      </c>
      <c r="E7" s="17" t="s">
        <v>285</v>
      </c>
      <c r="F7" s="17" t="s">
        <v>330</v>
      </c>
      <c r="G7" s="17" t="s">
        <v>287</v>
      </c>
      <c r="H7" s="17" t="s">
        <v>288</v>
      </c>
      <c r="I7" s="17" t="s">
        <v>331</v>
      </c>
      <c r="J7" s="17" t="s">
        <v>332</v>
      </c>
      <c r="K7" s="17" t="s">
        <v>333</v>
      </c>
    </row>
    <row r="8" ht="19.5" customHeight="1">
      <c r="A8" s="25">
        <v>1.0</v>
      </c>
      <c r="B8" s="26" t="s">
        <v>334</v>
      </c>
      <c r="C8" s="26" t="s">
        <v>335</v>
      </c>
      <c r="D8" s="26" t="s">
        <v>297</v>
      </c>
      <c r="E8" s="26" t="s">
        <v>336</v>
      </c>
      <c r="F8" s="26" t="s">
        <v>337</v>
      </c>
      <c r="G8" s="26" t="s">
        <v>338</v>
      </c>
      <c r="H8" s="26" t="s">
        <v>339</v>
      </c>
      <c r="I8" s="26" t="s">
        <v>340</v>
      </c>
      <c r="J8" s="26" t="s">
        <v>341</v>
      </c>
      <c r="K8" s="26" t="s">
        <v>342</v>
      </c>
    </row>
    <row r="9" ht="19.5" customHeight="1">
      <c r="A9" s="21">
        <v>2.0</v>
      </c>
      <c r="B9" s="22" t="s">
        <v>343</v>
      </c>
      <c r="C9" s="22" t="s">
        <v>344</v>
      </c>
      <c r="D9" s="22" t="s">
        <v>345</v>
      </c>
      <c r="E9" s="22"/>
      <c r="F9" s="22" t="s">
        <v>346</v>
      </c>
      <c r="G9" s="22" t="s">
        <v>347</v>
      </c>
      <c r="H9" s="22" t="s">
        <v>301</v>
      </c>
      <c r="I9" s="22" t="s">
        <v>348</v>
      </c>
      <c r="J9" s="22" t="s">
        <v>341</v>
      </c>
      <c r="K9" s="22" t="s">
        <v>349</v>
      </c>
    </row>
    <row r="10" ht="19.5" customHeight="1">
      <c r="A10" s="40">
        <v>3.0</v>
      </c>
      <c r="B10" s="41" t="s">
        <v>350</v>
      </c>
      <c r="C10" s="41" t="s">
        <v>351</v>
      </c>
      <c r="D10" s="41" t="s">
        <v>315</v>
      </c>
      <c r="E10" s="41"/>
      <c r="F10" s="41" t="s">
        <v>352</v>
      </c>
      <c r="G10" s="41" t="s">
        <v>300</v>
      </c>
      <c r="H10" s="41" t="s">
        <v>301</v>
      </c>
      <c r="I10" s="41"/>
      <c r="J10" s="41" t="s">
        <v>353</v>
      </c>
      <c r="K10" s="41" t="s">
        <v>354</v>
      </c>
    </row>
    <row r="11" ht="19.5" customHeight="1">
      <c r="A11" s="21">
        <v>4.0</v>
      </c>
      <c r="B11" s="22" t="s">
        <v>355</v>
      </c>
      <c r="C11" s="22" t="s">
        <v>356</v>
      </c>
      <c r="D11" s="22" t="s">
        <v>357</v>
      </c>
      <c r="E11" s="22"/>
      <c r="F11" s="22" t="s">
        <v>358</v>
      </c>
      <c r="G11" s="22" t="s">
        <v>300</v>
      </c>
      <c r="H11" s="22" t="s">
        <v>301</v>
      </c>
      <c r="I11" s="22" t="s">
        <v>359</v>
      </c>
      <c r="J11" s="22" t="s">
        <v>341</v>
      </c>
      <c r="K11" s="22" t="s">
        <v>360</v>
      </c>
    </row>
    <row r="12" ht="19.5" customHeight="1">
      <c r="A12" s="30">
        <v>1.0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ht="19.5" customHeight="1">
      <c r="A13" s="29">
        <v>2.0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ht="19.5" customHeight="1">
      <c r="A14" s="30">
        <v>3.0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19.5" customHeight="1">
      <c r="A15" s="29">
        <v>4.0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ht="19.5" customHeight="1">
      <c r="A16" s="30">
        <v>5.0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ht="19.5" customHeight="1">
      <c r="A17" s="29">
        <v>6.0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ht="19.5" customHeight="1">
      <c r="A18" s="30">
        <v>7.0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ht="19.5" customHeight="1">
      <c r="A19" s="29">
        <v>8.0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ht="19.5" customHeight="1">
      <c r="A20" s="30">
        <v>9.0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</row>
    <row r="21" ht="19.5" customHeight="1">
      <c r="A21" s="29">
        <v>10.0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ht="19.5" customHeight="1">
      <c r="A22" s="30">
        <v>11.0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ht="19.5" customHeight="1">
      <c r="A23" s="29">
        <v>12.0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ht="19.5" customHeight="1">
      <c r="A24" s="30">
        <v>13.0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</row>
    <row r="25" ht="19.5" customHeight="1">
      <c r="A25" s="29">
        <v>14.0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ht="19.5" customHeight="1">
      <c r="A26" s="30">
        <v>15.0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9.5" customHeight="1">
      <c r="A27" s="29">
        <v>16.0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ht="19.5" customHeight="1">
      <c r="A28" s="30">
        <v>17.0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19.5" customHeight="1">
      <c r="A29" s="29">
        <v>18.0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ht="19.5" customHeight="1">
      <c r="A30" s="30">
        <v>19.0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9.5" customHeight="1">
      <c r="A31" s="29">
        <v>20.0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ht="19.5" customHeight="1">
      <c r="A32" s="30">
        <v>21.0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9.5" customHeight="1">
      <c r="A33" s="29">
        <v>22.0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ht="19.5" customHeight="1">
      <c r="A34" s="30">
        <v>23.0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9.5" customHeight="1">
      <c r="A35" s="29">
        <v>24.0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6" ht="19.5" customHeight="1">
      <c r="A36" s="30">
        <v>25.0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9.5" customHeight="1">
      <c r="A37" s="29">
        <v>26.0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ht="19.5" customHeight="1">
      <c r="A38" s="30">
        <v>27.0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9.5" customHeight="1">
      <c r="A39" s="29">
        <v>28.0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ht="19.5" customHeight="1">
      <c r="A40" s="30">
        <v>29.0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9.5" customHeight="1">
      <c r="A41" s="29">
        <v>30.0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19.5" customHeight="1">
      <c r="A42" s="30">
        <v>31.0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9.5" customHeight="1">
      <c r="A43" s="29">
        <v>32.0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ht="19.5" customHeight="1">
      <c r="A44" s="30">
        <v>33.0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9.5" customHeight="1">
      <c r="A45" s="29">
        <v>34.0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ht="19.5" customHeight="1">
      <c r="A46" s="30">
        <v>35.0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9.5" customHeight="1">
      <c r="A47" s="29">
        <v>36.0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ht="19.5" customHeight="1">
      <c r="A48" s="30">
        <v>37.0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9.5" customHeight="1">
      <c r="A49" s="29">
        <v>38.0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ht="19.5" customHeight="1">
      <c r="A50" s="30">
        <v>39.0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9.5" customHeight="1">
      <c r="A51" s="29">
        <v>40.0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ht="19.5" customHeight="1">
      <c r="A52" s="30">
        <v>41.0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9.5" customHeight="1">
      <c r="A53" s="29">
        <v>42.0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ht="19.5" customHeight="1">
      <c r="A54" s="30">
        <v>43.0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9.5" customHeight="1">
      <c r="A55" s="29">
        <v>44.0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ht="19.5" customHeight="1">
      <c r="A56" s="30">
        <v>45.0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9.5" customHeight="1">
      <c r="A57" s="29">
        <v>46.0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ht="19.5" customHeight="1">
      <c r="A58" s="30">
        <v>47.0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9.5" customHeight="1">
      <c r="A59" s="29">
        <v>48.0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ht="19.5" customHeight="1">
      <c r="A60" s="30">
        <v>49.0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9.5" customHeight="1">
      <c r="A61" s="29">
        <v>50.0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3:K3"/>
    <mergeCell ref="A4:K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3E8C"/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0.0"/>
    <col customWidth="1" min="4" max="10" width="14.0"/>
    <col customWidth="1" min="11" max="11" width="22.0"/>
    <col customWidth="1" min="12" max="26" width="8.71"/>
  </cols>
  <sheetData>
    <row r="1" ht="6.0" customHeight="1"/>
    <row r="2" ht="39.75" customHeight="1">
      <c r="A2" s="1" t="s">
        <v>361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9.5" customHeight="1">
      <c r="A3" s="4" t="s">
        <v>362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5" t="s">
        <v>363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7" ht="19.5" customHeight="1">
      <c r="A7" s="17"/>
      <c r="B7" s="18" t="s">
        <v>364</v>
      </c>
      <c r="C7" s="19"/>
      <c r="D7" s="20"/>
      <c r="E7" s="18" t="s">
        <v>365</v>
      </c>
      <c r="F7" s="20"/>
      <c r="G7" s="18" t="s">
        <v>366</v>
      </c>
      <c r="H7" s="20"/>
      <c r="I7" s="18" t="s">
        <v>367</v>
      </c>
      <c r="J7" s="20"/>
      <c r="K7" s="42" t="s">
        <v>368</v>
      </c>
    </row>
    <row r="8" ht="36.0" customHeight="1">
      <c r="A8" s="17" t="s">
        <v>3</v>
      </c>
      <c r="B8" s="17" t="s">
        <v>369</v>
      </c>
      <c r="C8" s="17" t="s">
        <v>370</v>
      </c>
      <c r="D8" s="17" t="s">
        <v>371</v>
      </c>
      <c r="E8" s="17" t="s">
        <v>249</v>
      </c>
      <c r="F8" s="17" t="s">
        <v>372</v>
      </c>
      <c r="G8" s="17" t="s">
        <v>373</v>
      </c>
      <c r="H8" s="17" t="s">
        <v>374</v>
      </c>
      <c r="I8" s="17" t="s">
        <v>375</v>
      </c>
      <c r="J8" s="17" t="s">
        <v>376</v>
      </c>
      <c r="K8" s="17" t="s">
        <v>377</v>
      </c>
    </row>
    <row r="9" ht="19.5" customHeight="1">
      <c r="A9" s="21">
        <v>1.0</v>
      </c>
      <c r="B9" s="22" t="s">
        <v>200</v>
      </c>
      <c r="C9" s="22" t="s">
        <v>201</v>
      </c>
      <c r="D9" s="22" t="s">
        <v>202</v>
      </c>
      <c r="E9" s="22" t="s">
        <v>208</v>
      </c>
      <c r="F9" s="23">
        <v>1299.0</v>
      </c>
      <c r="G9" s="21" t="s">
        <v>378</v>
      </c>
      <c r="H9" s="23">
        <v>850.0</v>
      </c>
      <c r="I9" s="21" t="s">
        <v>378</v>
      </c>
      <c r="J9" s="23">
        <v>999.0</v>
      </c>
      <c r="K9" s="21" t="s">
        <v>379</v>
      </c>
    </row>
    <row r="10" ht="19.5" customHeight="1">
      <c r="A10" s="25">
        <v>2.0</v>
      </c>
      <c r="B10" s="26" t="s">
        <v>200</v>
      </c>
      <c r="C10" s="26" t="s">
        <v>201</v>
      </c>
      <c r="D10" s="26" t="s">
        <v>213</v>
      </c>
      <c r="E10" s="26" t="s">
        <v>208</v>
      </c>
      <c r="F10" s="27">
        <v>1299.0</v>
      </c>
      <c r="G10" s="25" t="s">
        <v>378</v>
      </c>
      <c r="H10" s="27">
        <v>850.0</v>
      </c>
      <c r="I10" s="25" t="s">
        <v>378</v>
      </c>
      <c r="J10" s="25"/>
      <c r="K10" s="25"/>
    </row>
    <row r="11" ht="19.5" customHeight="1">
      <c r="A11" s="21">
        <v>3.0</v>
      </c>
      <c r="B11" s="22" t="s">
        <v>214</v>
      </c>
      <c r="C11" s="22" t="s">
        <v>215</v>
      </c>
      <c r="D11" s="22" t="s">
        <v>216</v>
      </c>
      <c r="E11" s="22" t="s">
        <v>208</v>
      </c>
      <c r="F11" s="23">
        <v>799.0</v>
      </c>
      <c r="G11" s="21" t="s">
        <v>378</v>
      </c>
      <c r="H11" s="23">
        <v>520.0</v>
      </c>
      <c r="I11" s="21" t="s">
        <v>378</v>
      </c>
      <c r="J11" s="23">
        <v>649.0</v>
      </c>
      <c r="K11" s="21" t="s">
        <v>380</v>
      </c>
    </row>
    <row r="12" ht="19.5" customHeight="1">
      <c r="A12" s="25">
        <v>4.0</v>
      </c>
      <c r="B12" s="26" t="s">
        <v>221</v>
      </c>
      <c r="C12" s="26" t="s">
        <v>222</v>
      </c>
      <c r="D12" s="26" t="s">
        <v>223</v>
      </c>
      <c r="E12" s="26" t="s">
        <v>228</v>
      </c>
      <c r="F12" s="27">
        <v>1599.0</v>
      </c>
      <c r="G12" s="25" t="s">
        <v>378</v>
      </c>
      <c r="H12" s="27">
        <v>1050.0</v>
      </c>
      <c r="I12" s="25" t="s">
        <v>378</v>
      </c>
      <c r="J12" s="25"/>
      <c r="K12" s="25"/>
    </row>
    <row r="13" ht="19.5" customHeight="1">
      <c r="A13" s="21">
        <v>5.0</v>
      </c>
      <c r="B13" s="22" t="s">
        <v>230</v>
      </c>
      <c r="C13" s="22" t="s">
        <v>231</v>
      </c>
      <c r="D13" s="22" t="s">
        <v>232</v>
      </c>
      <c r="E13" s="22" t="s">
        <v>235</v>
      </c>
      <c r="F13" s="23">
        <v>3499.0</v>
      </c>
      <c r="G13" s="21" t="s">
        <v>378</v>
      </c>
      <c r="H13" s="23">
        <v>2250.0</v>
      </c>
      <c r="I13" s="21" t="s">
        <v>378</v>
      </c>
      <c r="J13" s="21"/>
      <c r="K13" s="21"/>
    </row>
    <row r="14" ht="19.5" customHeight="1">
      <c r="A14" s="25">
        <v>6.0</v>
      </c>
      <c r="B14" s="26" t="s">
        <v>237</v>
      </c>
      <c r="C14" s="26" t="s">
        <v>238</v>
      </c>
      <c r="D14" s="26" t="s">
        <v>239</v>
      </c>
      <c r="E14" s="26" t="s">
        <v>381</v>
      </c>
      <c r="F14" s="27">
        <v>499.0</v>
      </c>
      <c r="G14" s="25" t="s">
        <v>378</v>
      </c>
      <c r="H14" s="27">
        <v>320.0</v>
      </c>
      <c r="I14" s="25" t="s">
        <v>378</v>
      </c>
      <c r="J14" s="27">
        <v>399.0</v>
      </c>
      <c r="K14" s="25" t="s">
        <v>382</v>
      </c>
    </row>
    <row r="15" ht="19.5" customHeight="1">
      <c r="A15" s="29">
        <v>1.0</v>
      </c>
      <c r="B15" s="22"/>
      <c r="C15" s="22"/>
      <c r="D15" s="22"/>
      <c r="E15" s="22"/>
      <c r="F15" s="21"/>
      <c r="G15" s="21"/>
      <c r="H15" s="21"/>
      <c r="I15" s="21"/>
      <c r="J15" s="21"/>
      <c r="K15" s="21"/>
    </row>
    <row r="16" ht="19.5" customHeight="1">
      <c r="A16" s="30">
        <v>2.0</v>
      </c>
      <c r="B16" s="26"/>
      <c r="C16" s="26"/>
      <c r="D16" s="26"/>
      <c r="E16" s="26"/>
      <c r="F16" s="25"/>
      <c r="G16" s="25"/>
      <c r="H16" s="25"/>
      <c r="I16" s="25"/>
      <c r="J16" s="25"/>
      <c r="K16" s="25"/>
    </row>
    <row r="17" ht="19.5" customHeight="1">
      <c r="A17" s="29">
        <v>3.0</v>
      </c>
      <c r="B17" s="22"/>
      <c r="C17" s="22"/>
      <c r="D17" s="22"/>
      <c r="E17" s="22"/>
      <c r="F17" s="21"/>
      <c r="G17" s="21"/>
      <c r="H17" s="21"/>
      <c r="I17" s="21"/>
      <c r="J17" s="21"/>
      <c r="K17" s="21"/>
    </row>
    <row r="18" ht="19.5" customHeight="1">
      <c r="A18" s="30">
        <v>4.0</v>
      </c>
      <c r="B18" s="26"/>
      <c r="C18" s="26"/>
      <c r="D18" s="26"/>
      <c r="E18" s="26"/>
      <c r="F18" s="25"/>
      <c r="G18" s="25"/>
      <c r="H18" s="25"/>
      <c r="I18" s="25"/>
      <c r="J18" s="25"/>
      <c r="K18" s="25"/>
    </row>
    <row r="19" ht="19.5" customHeight="1">
      <c r="A19" s="29">
        <v>5.0</v>
      </c>
      <c r="B19" s="22"/>
      <c r="C19" s="22"/>
      <c r="D19" s="22"/>
      <c r="E19" s="22"/>
      <c r="F19" s="21"/>
      <c r="G19" s="21"/>
      <c r="H19" s="21"/>
      <c r="I19" s="21"/>
      <c r="J19" s="21"/>
      <c r="K19" s="21"/>
    </row>
    <row r="20" ht="19.5" customHeight="1">
      <c r="A20" s="30">
        <v>6.0</v>
      </c>
      <c r="B20" s="26"/>
      <c r="C20" s="26"/>
      <c r="D20" s="26"/>
      <c r="E20" s="26"/>
      <c r="F20" s="25"/>
      <c r="G20" s="25"/>
      <c r="H20" s="25"/>
      <c r="I20" s="25"/>
      <c r="J20" s="25"/>
      <c r="K20" s="25"/>
    </row>
    <row r="21" ht="19.5" customHeight="1">
      <c r="A21" s="29">
        <v>7.0</v>
      </c>
      <c r="B21" s="22"/>
      <c r="C21" s="22"/>
      <c r="D21" s="22"/>
      <c r="E21" s="22"/>
      <c r="F21" s="21"/>
      <c r="G21" s="21"/>
      <c r="H21" s="21"/>
      <c r="I21" s="21"/>
      <c r="J21" s="21"/>
      <c r="K21" s="21"/>
    </row>
    <row r="22" ht="19.5" customHeight="1">
      <c r="A22" s="30">
        <v>8.0</v>
      </c>
      <c r="B22" s="26"/>
      <c r="C22" s="26"/>
      <c r="D22" s="26"/>
      <c r="E22" s="26"/>
      <c r="F22" s="25"/>
      <c r="G22" s="25"/>
      <c r="H22" s="25"/>
      <c r="I22" s="25"/>
      <c r="J22" s="25"/>
      <c r="K22" s="25"/>
    </row>
    <row r="23" ht="19.5" customHeight="1">
      <c r="A23" s="29">
        <v>9.0</v>
      </c>
      <c r="B23" s="22"/>
      <c r="C23" s="22"/>
      <c r="D23" s="22"/>
      <c r="E23" s="22"/>
      <c r="F23" s="21"/>
      <c r="G23" s="21"/>
      <c r="H23" s="21"/>
      <c r="I23" s="21"/>
      <c r="J23" s="21"/>
      <c r="K23" s="21"/>
    </row>
    <row r="24" ht="19.5" customHeight="1">
      <c r="A24" s="30">
        <v>10.0</v>
      </c>
      <c r="B24" s="26"/>
      <c r="C24" s="26"/>
      <c r="D24" s="26"/>
      <c r="E24" s="26"/>
      <c r="F24" s="25"/>
      <c r="G24" s="25"/>
      <c r="H24" s="25"/>
      <c r="I24" s="25"/>
      <c r="J24" s="25"/>
      <c r="K24" s="25"/>
    </row>
    <row r="25" ht="19.5" customHeight="1">
      <c r="A25" s="29">
        <v>11.0</v>
      </c>
      <c r="B25" s="22"/>
      <c r="C25" s="22"/>
      <c r="D25" s="22"/>
      <c r="E25" s="22"/>
      <c r="F25" s="21"/>
      <c r="G25" s="21"/>
      <c r="H25" s="21"/>
      <c r="I25" s="21"/>
      <c r="J25" s="21"/>
      <c r="K25" s="21"/>
    </row>
    <row r="26" ht="19.5" customHeight="1">
      <c r="A26" s="30">
        <v>12.0</v>
      </c>
      <c r="B26" s="26"/>
      <c r="C26" s="26"/>
      <c r="D26" s="26"/>
      <c r="E26" s="26"/>
      <c r="F26" s="25"/>
      <c r="G26" s="25"/>
      <c r="H26" s="25"/>
      <c r="I26" s="25"/>
      <c r="J26" s="25"/>
      <c r="K26" s="25"/>
    </row>
    <row r="27" ht="19.5" customHeight="1">
      <c r="A27" s="29">
        <v>13.0</v>
      </c>
      <c r="B27" s="22"/>
      <c r="C27" s="22"/>
      <c r="D27" s="22"/>
      <c r="E27" s="22"/>
      <c r="F27" s="21"/>
      <c r="G27" s="21"/>
      <c r="H27" s="21"/>
      <c r="I27" s="21"/>
      <c r="J27" s="21"/>
      <c r="K27" s="21"/>
    </row>
    <row r="28" ht="19.5" customHeight="1">
      <c r="A28" s="30">
        <v>14.0</v>
      </c>
      <c r="B28" s="26"/>
      <c r="C28" s="26"/>
      <c r="D28" s="26"/>
      <c r="E28" s="26"/>
      <c r="F28" s="25"/>
      <c r="G28" s="25"/>
      <c r="H28" s="25"/>
      <c r="I28" s="25"/>
      <c r="J28" s="25"/>
      <c r="K28" s="25"/>
    </row>
    <row r="29" ht="19.5" customHeight="1">
      <c r="A29" s="29">
        <v>15.0</v>
      </c>
      <c r="B29" s="22"/>
      <c r="C29" s="22"/>
      <c r="D29" s="22"/>
      <c r="E29" s="22"/>
      <c r="F29" s="21"/>
      <c r="G29" s="21"/>
      <c r="H29" s="21"/>
      <c r="I29" s="21"/>
      <c r="J29" s="21"/>
      <c r="K29" s="21"/>
    </row>
    <row r="30" ht="19.5" customHeight="1">
      <c r="A30" s="30">
        <v>16.0</v>
      </c>
      <c r="B30" s="26"/>
      <c r="C30" s="26"/>
      <c r="D30" s="26"/>
      <c r="E30" s="26"/>
      <c r="F30" s="25"/>
      <c r="G30" s="25"/>
      <c r="H30" s="25"/>
      <c r="I30" s="25"/>
      <c r="J30" s="25"/>
      <c r="K30" s="25"/>
    </row>
    <row r="31" ht="19.5" customHeight="1">
      <c r="A31" s="29">
        <v>17.0</v>
      </c>
      <c r="B31" s="22"/>
      <c r="C31" s="22"/>
      <c r="D31" s="22"/>
      <c r="E31" s="22"/>
      <c r="F31" s="21"/>
      <c r="G31" s="21"/>
      <c r="H31" s="21"/>
      <c r="I31" s="21"/>
      <c r="J31" s="21"/>
      <c r="K31" s="21"/>
    </row>
    <row r="32" ht="19.5" customHeight="1">
      <c r="A32" s="30">
        <v>18.0</v>
      </c>
      <c r="B32" s="26"/>
      <c r="C32" s="26"/>
      <c r="D32" s="26"/>
      <c r="E32" s="26"/>
      <c r="F32" s="25"/>
      <c r="G32" s="25"/>
      <c r="H32" s="25"/>
      <c r="I32" s="25"/>
      <c r="J32" s="25"/>
      <c r="K32" s="25"/>
    </row>
    <row r="33" ht="19.5" customHeight="1">
      <c r="A33" s="29">
        <v>19.0</v>
      </c>
      <c r="B33" s="22"/>
      <c r="C33" s="22"/>
      <c r="D33" s="22"/>
      <c r="E33" s="22"/>
      <c r="F33" s="21"/>
      <c r="G33" s="21"/>
      <c r="H33" s="21"/>
      <c r="I33" s="21"/>
      <c r="J33" s="21"/>
      <c r="K33" s="21"/>
    </row>
    <row r="34" ht="19.5" customHeight="1">
      <c r="A34" s="30">
        <v>20.0</v>
      </c>
      <c r="B34" s="26"/>
      <c r="C34" s="26"/>
      <c r="D34" s="26"/>
      <c r="E34" s="26"/>
      <c r="F34" s="25"/>
      <c r="G34" s="25"/>
      <c r="H34" s="25"/>
      <c r="I34" s="25"/>
      <c r="J34" s="25"/>
      <c r="K34" s="25"/>
    </row>
    <row r="35" ht="19.5" customHeight="1">
      <c r="A35" s="29">
        <v>21.0</v>
      </c>
      <c r="B35" s="22"/>
      <c r="C35" s="22"/>
      <c r="D35" s="22"/>
      <c r="E35" s="22"/>
      <c r="F35" s="21"/>
      <c r="G35" s="21"/>
      <c r="H35" s="21"/>
      <c r="I35" s="21"/>
      <c r="J35" s="21"/>
      <c r="K35" s="21"/>
    </row>
    <row r="36" ht="19.5" customHeight="1">
      <c r="A36" s="30">
        <v>22.0</v>
      </c>
      <c r="B36" s="26"/>
      <c r="C36" s="26"/>
      <c r="D36" s="26"/>
      <c r="E36" s="26"/>
      <c r="F36" s="25"/>
      <c r="G36" s="25"/>
      <c r="H36" s="25"/>
      <c r="I36" s="25"/>
      <c r="J36" s="25"/>
      <c r="K36" s="25"/>
    </row>
    <row r="37" ht="19.5" customHeight="1">
      <c r="A37" s="29">
        <v>23.0</v>
      </c>
      <c r="B37" s="22"/>
      <c r="C37" s="22"/>
      <c r="D37" s="22"/>
      <c r="E37" s="22"/>
      <c r="F37" s="21"/>
      <c r="G37" s="21"/>
      <c r="H37" s="21"/>
      <c r="I37" s="21"/>
      <c r="J37" s="21"/>
      <c r="K37" s="21"/>
    </row>
    <row r="38" ht="19.5" customHeight="1">
      <c r="A38" s="30">
        <v>24.0</v>
      </c>
      <c r="B38" s="26"/>
      <c r="C38" s="26"/>
      <c r="D38" s="26"/>
      <c r="E38" s="26"/>
      <c r="F38" s="25"/>
      <c r="G38" s="25"/>
      <c r="H38" s="25"/>
      <c r="I38" s="25"/>
      <c r="J38" s="25"/>
      <c r="K38" s="25"/>
    </row>
    <row r="39" ht="19.5" customHeight="1">
      <c r="A39" s="29">
        <v>25.0</v>
      </c>
      <c r="B39" s="22"/>
      <c r="C39" s="22"/>
      <c r="D39" s="22"/>
      <c r="E39" s="22"/>
      <c r="F39" s="21"/>
      <c r="G39" s="21"/>
      <c r="H39" s="21"/>
      <c r="I39" s="21"/>
      <c r="J39" s="21"/>
      <c r="K39" s="21"/>
    </row>
    <row r="40" ht="19.5" customHeight="1">
      <c r="A40" s="30">
        <v>26.0</v>
      </c>
      <c r="B40" s="26"/>
      <c r="C40" s="26"/>
      <c r="D40" s="26"/>
      <c r="E40" s="26"/>
      <c r="F40" s="25"/>
      <c r="G40" s="25"/>
      <c r="H40" s="25"/>
      <c r="I40" s="25"/>
      <c r="J40" s="25"/>
      <c r="K40" s="25"/>
    </row>
    <row r="41" ht="19.5" customHeight="1">
      <c r="A41" s="29">
        <v>27.0</v>
      </c>
      <c r="B41" s="22"/>
      <c r="C41" s="22"/>
      <c r="D41" s="22"/>
      <c r="E41" s="22"/>
      <c r="F41" s="21"/>
      <c r="G41" s="21"/>
      <c r="H41" s="21"/>
      <c r="I41" s="21"/>
      <c r="J41" s="21"/>
      <c r="K41" s="21"/>
    </row>
    <row r="42" ht="19.5" customHeight="1">
      <c r="A42" s="30">
        <v>28.0</v>
      </c>
      <c r="B42" s="26"/>
      <c r="C42" s="26"/>
      <c r="D42" s="26"/>
      <c r="E42" s="26"/>
      <c r="F42" s="25"/>
      <c r="G42" s="25"/>
      <c r="H42" s="25"/>
      <c r="I42" s="25"/>
      <c r="J42" s="25"/>
      <c r="K42" s="25"/>
    </row>
    <row r="43" ht="19.5" customHeight="1">
      <c r="A43" s="29">
        <v>29.0</v>
      </c>
      <c r="B43" s="22"/>
      <c r="C43" s="22"/>
      <c r="D43" s="22"/>
      <c r="E43" s="22"/>
      <c r="F43" s="21"/>
      <c r="G43" s="21"/>
      <c r="H43" s="21"/>
      <c r="I43" s="21"/>
      <c r="J43" s="21"/>
      <c r="K43" s="21"/>
    </row>
    <row r="44" ht="19.5" customHeight="1">
      <c r="A44" s="30">
        <v>30.0</v>
      </c>
      <c r="B44" s="26"/>
      <c r="C44" s="26"/>
      <c r="D44" s="26"/>
      <c r="E44" s="26"/>
      <c r="F44" s="25"/>
      <c r="G44" s="25"/>
      <c r="H44" s="25"/>
      <c r="I44" s="25"/>
      <c r="J44" s="25"/>
      <c r="K44" s="25"/>
    </row>
    <row r="45" ht="19.5" customHeight="1">
      <c r="A45" s="29">
        <v>31.0</v>
      </c>
      <c r="B45" s="22"/>
      <c r="C45" s="22"/>
      <c r="D45" s="22"/>
      <c r="E45" s="22"/>
      <c r="F45" s="21"/>
      <c r="G45" s="21"/>
      <c r="H45" s="21"/>
      <c r="I45" s="21"/>
      <c r="J45" s="21"/>
      <c r="K45" s="21"/>
    </row>
    <row r="46" ht="19.5" customHeight="1">
      <c r="A46" s="30">
        <v>32.0</v>
      </c>
      <c r="B46" s="26"/>
      <c r="C46" s="26"/>
      <c r="D46" s="26"/>
      <c r="E46" s="26"/>
      <c r="F46" s="25"/>
      <c r="G46" s="25"/>
      <c r="H46" s="25"/>
      <c r="I46" s="25"/>
      <c r="J46" s="25"/>
      <c r="K46" s="25"/>
    </row>
    <row r="47" ht="19.5" customHeight="1">
      <c r="A47" s="29">
        <v>33.0</v>
      </c>
      <c r="B47" s="22"/>
      <c r="C47" s="22"/>
      <c r="D47" s="22"/>
      <c r="E47" s="22"/>
      <c r="F47" s="21"/>
      <c r="G47" s="21"/>
      <c r="H47" s="21"/>
      <c r="I47" s="21"/>
      <c r="J47" s="21"/>
      <c r="K47" s="21"/>
    </row>
    <row r="48" ht="19.5" customHeight="1">
      <c r="A48" s="30">
        <v>34.0</v>
      </c>
      <c r="B48" s="26"/>
      <c r="C48" s="26"/>
      <c r="D48" s="26"/>
      <c r="E48" s="26"/>
      <c r="F48" s="25"/>
      <c r="G48" s="25"/>
      <c r="H48" s="25"/>
      <c r="I48" s="25"/>
      <c r="J48" s="25"/>
      <c r="K48" s="25"/>
    </row>
    <row r="49" ht="19.5" customHeight="1">
      <c r="A49" s="29">
        <v>35.0</v>
      </c>
      <c r="B49" s="22"/>
      <c r="C49" s="22"/>
      <c r="D49" s="22"/>
      <c r="E49" s="22"/>
      <c r="F49" s="21"/>
      <c r="G49" s="21"/>
      <c r="H49" s="21"/>
      <c r="I49" s="21"/>
      <c r="J49" s="21"/>
      <c r="K49" s="21"/>
    </row>
    <row r="50" ht="19.5" customHeight="1">
      <c r="A50" s="30">
        <v>36.0</v>
      </c>
      <c r="B50" s="26"/>
      <c r="C50" s="26"/>
      <c r="D50" s="26"/>
      <c r="E50" s="26"/>
      <c r="F50" s="25"/>
      <c r="G50" s="25"/>
      <c r="H50" s="25"/>
      <c r="I50" s="25"/>
      <c r="J50" s="25"/>
      <c r="K50" s="25"/>
    </row>
    <row r="51" ht="19.5" customHeight="1">
      <c r="A51" s="29">
        <v>37.0</v>
      </c>
      <c r="B51" s="22"/>
      <c r="C51" s="22"/>
      <c r="D51" s="22"/>
      <c r="E51" s="22"/>
      <c r="F51" s="21"/>
      <c r="G51" s="21"/>
      <c r="H51" s="21"/>
      <c r="I51" s="21"/>
      <c r="J51" s="21"/>
      <c r="K51" s="21"/>
    </row>
    <row r="52" ht="19.5" customHeight="1">
      <c r="A52" s="30">
        <v>38.0</v>
      </c>
      <c r="B52" s="26"/>
      <c r="C52" s="26"/>
      <c r="D52" s="26"/>
      <c r="E52" s="26"/>
      <c r="F52" s="25"/>
      <c r="G52" s="25"/>
      <c r="H52" s="25"/>
      <c r="I52" s="25"/>
      <c r="J52" s="25"/>
      <c r="K52" s="25"/>
    </row>
    <row r="53" ht="19.5" customHeight="1">
      <c r="A53" s="29">
        <v>39.0</v>
      </c>
      <c r="B53" s="22"/>
      <c r="C53" s="22"/>
      <c r="D53" s="22"/>
      <c r="E53" s="22"/>
      <c r="F53" s="21"/>
      <c r="G53" s="21"/>
      <c r="H53" s="21"/>
      <c r="I53" s="21"/>
      <c r="J53" s="21"/>
      <c r="K53" s="21"/>
    </row>
    <row r="54" ht="19.5" customHeight="1">
      <c r="A54" s="30">
        <v>40.0</v>
      </c>
      <c r="B54" s="26"/>
      <c r="C54" s="26"/>
      <c r="D54" s="26"/>
      <c r="E54" s="26"/>
      <c r="F54" s="25"/>
      <c r="G54" s="25"/>
      <c r="H54" s="25"/>
      <c r="I54" s="25"/>
      <c r="J54" s="25"/>
      <c r="K54" s="25"/>
    </row>
    <row r="55" ht="19.5" customHeight="1">
      <c r="A55" s="29">
        <v>41.0</v>
      </c>
      <c r="B55" s="22"/>
      <c r="C55" s="22"/>
      <c r="D55" s="22"/>
      <c r="E55" s="22"/>
      <c r="F55" s="21"/>
      <c r="G55" s="21"/>
      <c r="H55" s="21"/>
      <c r="I55" s="21"/>
      <c r="J55" s="21"/>
      <c r="K55" s="21"/>
    </row>
    <row r="56" ht="19.5" customHeight="1">
      <c r="A56" s="30">
        <v>42.0</v>
      </c>
      <c r="B56" s="26"/>
      <c r="C56" s="26"/>
      <c r="D56" s="26"/>
      <c r="E56" s="26"/>
      <c r="F56" s="25"/>
      <c r="G56" s="25"/>
      <c r="H56" s="25"/>
      <c r="I56" s="25"/>
      <c r="J56" s="25"/>
      <c r="K56" s="25"/>
    </row>
    <row r="57" ht="19.5" customHeight="1">
      <c r="A57" s="29">
        <v>43.0</v>
      </c>
      <c r="B57" s="22"/>
      <c r="C57" s="22"/>
      <c r="D57" s="22"/>
      <c r="E57" s="22"/>
      <c r="F57" s="21"/>
      <c r="G57" s="21"/>
      <c r="H57" s="21"/>
      <c r="I57" s="21"/>
      <c r="J57" s="21"/>
      <c r="K57" s="21"/>
    </row>
    <row r="58" ht="19.5" customHeight="1">
      <c r="A58" s="30">
        <v>44.0</v>
      </c>
      <c r="B58" s="26"/>
      <c r="C58" s="26"/>
      <c r="D58" s="26"/>
      <c r="E58" s="26"/>
      <c r="F58" s="25"/>
      <c r="G58" s="25"/>
      <c r="H58" s="25"/>
      <c r="I58" s="25"/>
      <c r="J58" s="25"/>
      <c r="K58" s="25"/>
    </row>
    <row r="59" ht="19.5" customHeight="1">
      <c r="A59" s="29">
        <v>45.0</v>
      </c>
      <c r="B59" s="22"/>
      <c r="C59" s="22"/>
      <c r="D59" s="22"/>
      <c r="E59" s="22"/>
      <c r="F59" s="21"/>
      <c r="G59" s="21"/>
      <c r="H59" s="21"/>
      <c r="I59" s="21"/>
      <c r="J59" s="21"/>
      <c r="K59" s="21"/>
    </row>
    <row r="60" ht="19.5" customHeight="1">
      <c r="A60" s="30">
        <v>46.0</v>
      </c>
      <c r="B60" s="26"/>
      <c r="C60" s="26"/>
      <c r="D60" s="26"/>
      <c r="E60" s="26"/>
      <c r="F60" s="25"/>
      <c r="G60" s="25"/>
      <c r="H60" s="25"/>
      <c r="I60" s="25"/>
      <c r="J60" s="25"/>
      <c r="K60" s="25"/>
    </row>
    <row r="61" ht="19.5" customHeight="1">
      <c r="A61" s="29">
        <v>47.0</v>
      </c>
      <c r="B61" s="22"/>
      <c r="C61" s="22"/>
      <c r="D61" s="22"/>
      <c r="E61" s="22"/>
      <c r="F61" s="21"/>
      <c r="G61" s="21"/>
      <c r="H61" s="21"/>
      <c r="I61" s="21"/>
      <c r="J61" s="21"/>
      <c r="K61" s="21"/>
    </row>
    <row r="62" ht="19.5" customHeight="1">
      <c r="A62" s="30">
        <v>48.0</v>
      </c>
      <c r="B62" s="26"/>
      <c r="C62" s="26"/>
      <c r="D62" s="26"/>
      <c r="E62" s="26"/>
      <c r="F62" s="25"/>
      <c r="G62" s="25"/>
      <c r="H62" s="25"/>
      <c r="I62" s="25"/>
      <c r="J62" s="25"/>
      <c r="K62" s="25"/>
    </row>
    <row r="63" ht="19.5" customHeight="1">
      <c r="A63" s="29">
        <v>49.0</v>
      </c>
      <c r="B63" s="22"/>
      <c r="C63" s="22"/>
      <c r="D63" s="22"/>
      <c r="E63" s="22"/>
      <c r="F63" s="21"/>
      <c r="G63" s="21"/>
      <c r="H63" s="21"/>
      <c r="I63" s="21"/>
      <c r="J63" s="21"/>
      <c r="K63" s="21"/>
    </row>
    <row r="64" ht="19.5" customHeight="1">
      <c r="A64" s="30">
        <v>50.0</v>
      </c>
      <c r="B64" s="26"/>
      <c r="C64" s="26"/>
      <c r="D64" s="26"/>
      <c r="E64" s="26"/>
      <c r="F64" s="25"/>
      <c r="G64" s="25"/>
      <c r="H64" s="25"/>
      <c r="I64" s="25"/>
      <c r="J64" s="25"/>
      <c r="K64" s="2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K2"/>
    <mergeCell ref="A3:K3"/>
    <mergeCell ref="A4:K4"/>
    <mergeCell ref="B7:D7"/>
    <mergeCell ref="E7:F7"/>
    <mergeCell ref="G7:H7"/>
    <mergeCell ref="I7:J7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7E14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30.0"/>
    <col customWidth="1" min="4" max="4" width="16.0"/>
    <col customWidth="1" min="5" max="9" width="14.0"/>
    <col customWidth="1" min="10" max="10" width="22.0"/>
    <col customWidth="1" min="11" max="11" width="20.0"/>
    <col customWidth="1" min="12" max="26" width="8.71"/>
  </cols>
  <sheetData>
    <row r="1" ht="6.0" customHeight="1"/>
    <row r="2" ht="39.75" customHeight="1">
      <c r="A2" s="1" t="s">
        <v>383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9.5" customHeight="1">
      <c r="A3" s="4" t="s">
        <v>384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5" t="s">
        <v>385</v>
      </c>
      <c r="B4" s="2"/>
      <c r="C4" s="2"/>
      <c r="D4" s="2"/>
      <c r="E4" s="2"/>
      <c r="F4" s="2"/>
      <c r="G4" s="2"/>
      <c r="H4" s="2"/>
      <c r="I4" s="2"/>
      <c r="J4" s="2"/>
      <c r="K4" s="3"/>
    </row>
    <row r="7" ht="36.0" customHeight="1">
      <c r="A7" s="17" t="s">
        <v>3</v>
      </c>
      <c r="B7" s="17" t="s">
        <v>386</v>
      </c>
      <c r="C7" s="17" t="s">
        <v>370</v>
      </c>
      <c r="D7" s="17" t="s">
        <v>387</v>
      </c>
      <c r="E7" s="17" t="s">
        <v>250</v>
      </c>
      <c r="F7" s="17" t="s">
        <v>388</v>
      </c>
      <c r="G7" s="17" t="s">
        <v>389</v>
      </c>
      <c r="H7" s="17" t="s">
        <v>390</v>
      </c>
      <c r="I7" s="17" t="s">
        <v>391</v>
      </c>
      <c r="J7" s="17" t="s">
        <v>392</v>
      </c>
      <c r="K7" s="17" t="s">
        <v>393</v>
      </c>
    </row>
    <row r="8" ht="19.5" customHeight="1">
      <c r="A8" s="25">
        <v>1.0</v>
      </c>
      <c r="B8" s="26" t="s">
        <v>258</v>
      </c>
      <c r="C8" s="26" t="s">
        <v>394</v>
      </c>
      <c r="D8" s="25" t="s">
        <v>208</v>
      </c>
      <c r="E8" s="25" t="s">
        <v>101</v>
      </c>
      <c r="F8" s="25">
        <v>8.0</v>
      </c>
      <c r="G8" s="25">
        <v>4.0</v>
      </c>
      <c r="H8" s="25">
        <v>2.0</v>
      </c>
      <c r="I8" s="25">
        <v>24.0</v>
      </c>
      <c r="J8" s="26" t="s">
        <v>395</v>
      </c>
      <c r="K8" s="25">
        <v>21.0</v>
      </c>
    </row>
    <row r="9" ht="19.5" customHeight="1">
      <c r="A9" s="21">
        <v>2.0</v>
      </c>
      <c r="B9" s="22" t="s">
        <v>259</v>
      </c>
      <c r="C9" s="22" t="s">
        <v>394</v>
      </c>
      <c r="D9" s="21" t="s">
        <v>260</v>
      </c>
      <c r="E9" s="21" t="s">
        <v>101</v>
      </c>
      <c r="F9" s="21">
        <v>6.0</v>
      </c>
      <c r="G9" s="21">
        <v>4.0</v>
      </c>
      <c r="H9" s="21">
        <v>2.0</v>
      </c>
      <c r="I9" s="21">
        <v>24.0</v>
      </c>
      <c r="J9" s="22" t="s">
        <v>395</v>
      </c>
      <c r="K9" s="21">
        <v>21.0</v>
      </c>
    </row>
    <row r="10" ht="19.5" customHeight="1">
      <c r="A10" s="25">
        <v>3.0</v>
      </c>
      <c r="B10" s="26" t="s">
        <v>265</v>
      </c>
      <c r="C10" s="26" t="s">
        <v>396</v>
      </c>
      <c r="D10" s="25" t="s">
        <v>208</v>
      </c>
      <c r="E10" s="25" t="s">
        <v>101</v>
      </c>
      <c r="F10" s="25">
        <v>12.0</v>
      </c>
      <c r="G10" s="25">
        <v>6.0</v>
      </c>
      <c r="H10" s="25">
        <v>3.0</v>
      </c>
      <c r="I10" s="25">
        <v>36.0</v>
      </c>
      <c r="J10" s="26" t="s">
        <v>343</v>
      </c>
      <c r="K10" s="25">
        <v>14.0</v>
      </c>
    </row>
    <row r="11" ht="19.5" customHeight="1">
      <c r="A11" s="21">
        <v>4.0</v>
      </c>
      <c r="B11" s="22" t="s">
        <v>266</v>
      </c>
      <c r="C11" s="22" t="s">
        <v>396</v>
      </c>
      <c r="D11" s="21" t="s">
        <v>260</v>
      </c>
      <c r="E11" s="21" t="s">
        <v>101</v>
      </c>
      <c r="F11" s="21">
        <v>7.0</v>
      </c>
      <c r="G11" s="21">
        <v>6.0</v>
      </c>
      <c r="H11" s="21">
        <v>3.0</v>
      </c>
      <c r="I11" s="21">
        <v>36.0</v>
      </c>
      <c r="J11" s="22" t="s">
        <v>343</v>
      </c>
      <c r="K11" s="21">
        <v>14.0</v>
      </c>
    </row>
    <row r="12" ht="19.5" customHeight="1">
      <c r="A12" s="25">
        <v>5.0</v>
      </c>
      <c r="B12" s="26" t="s">
        <v>270</v>
      </c>
      <c r="C12" s="26" t="s">
        <v>268</v>
      </c>
      <c r="D12" s="25" t="s">
        <v>228</v>
      </c>
      <c r="E12" s="25" t="s">
        <v>101</v>
      </c>
      <c r="F12" s="25">
        <v>9.0</v>
      </c>
      <c r="G12" s="25">
        <v>5.0</v>
      </c>
      <c r="H12" s="25">
        <v>2.0</v>
      </c>
      <c r="I12" s="25">
        <v>20.0</v>
      </c>
      <c r="J12" s="26" t="s">
        <v>395</v>
      </c>
      <c r="K12" s="25">
        <v>21.0</v>
      </c>
    </row>
    <row r="13" ht="19.5" customHeight="1">
      <c r="A13" s="29">
        <v>1.0</v>
      </c>
      <c r="B13" s="22"/>
      <c r="C13" s="22"/>
      <c r="D13" s="21"/>
      <c r="E13" s="21"/>
      <c r="F13" s="21"/>
      <c r="G13" s="21"/>
      <c r="H13" s="21"/>
      <c r="I13" s="21"/>
      <c r="J13" s="22"/>
      <c r="K13" s="21"/>
    </row>
    <row r="14" ht="19.5" customHeight="1">
      <c r="A14" s="30">
        <v>2.0</v>
      </c>
      <c r="B14" s="26"/>
      <c r="C14" s="26"/>
      <c r="D14" s="25"/>
      <c r="E14" s="25"/>
      <c r="F14" s="25"/>
      <c r="G14" s="25"/>
      <c r="H14" s="25"/>
      <c r="I14" s="25"/>
      <c r="J14" s="26"/>
      <c r="K14" s="25"/>
    </row>
    <row r="15" ht="19.5" customHeight="1">
      <c r="A15" s="29">
        <v>3.0</v>
      </c>
      <c r="B15" s="22"/>
      <c r="C15" s="22"/>
      <c r="D15" s="21"/>
      <c r="E15" s="21"/>
      <c r="F15" s="21"/>
      <c r="G15" s="21"/>
      <c r="H15" s="21"/>
      <c r="I15" s="21"/>
      <c r="J15" s="22"/>
      <c r="K15" s="21"/>
    </row>
    <row r="16" ht="19.5" customHeight="1">
      <c r="A16" s="30">
        <v>4.0</v>
      </c>
      <c r="B16" s="26"/>
      <c r="C16" s="26"/>
      <c r="D16" s="25"/>
      <c r="E16" s="25"/>
      <c r="F16" s="25"/>
      <c r="G16" s="25"/>
      <c r="H16" s="25"/>
      <c r="I16" s="25"/>
      <c r="J16" s="26"/>
      <c r="K16" s="25"/>
    </row>
    <row r="17" ht="19.5" customHeight="1">
      <c r="A17" s="29">
        <v>5.0</v>
      </c>
      <c r="B17" s="22"/>
      <c r="C17" s="22"/>
      <c r="D17" s="21"/>
      <c r="E17" s="21"/>
      <c r="F17" s="21"/>
      <c r="G17" s="21"/>
      <c r="H17" s="21"/>
      <c r="I17" s="21"/>
      <c r="J17" s="22"/>
      <c r="K17" s="21"/>
    </row>
    <row r="18" ht="19.5" customHeight="1">
      <c r="A18" s="30">
        <v>6.0</v>
      </c>
      <c r="B18" s="26"/>
      <c r="C18" s="26"/>
      <c r="D18" s="25"/>
      <c r="E18" s="25"/>
      <c r="F18" s="25"/>
      <c r="G18" s="25"/>
      <c r="H18" s="25"/>
      <c r="I18" s="25"/>
      <c r="J18" s="26"/>
      <c r="K18" s="25"/>
    </row>
    <row r="19" ht="19.5" customHeight="1">
      <c r="A19" s="29">
        <v>7.0</v>
      </c>
      <c r="B19" s="22"/>
      <c r="C19" s="22"/>
      <c r="D19" s="21"/>
      <c r="E19" s="21"/>
      <c r="F19" s="21"/>
      <c r="G19" s="21"/>
      <c r="H19" s="21"/>
      <c r="I19" s="21"/>
      <c r="J19" s="22"/>
      <c r="K19" s="21"/>
    </row>
    <row r="20" ht="19.5" customHeight="1">
      <c r="A20" s="30">
        <v>8.0</v>
      </c>
      <c r="B20" s="26"/>
      <c r="C20" s="26"/>
      <c r="D20" s="25"/>
      <c r="E20" s="25"/>
      <c r="F20" s="25"/>
      <c r="G20" s="25"/>
      <c r="H20" s="25"/>
      <c r="I20" s="25"/>
      <c r="J20" s="26"/>
      <c r="K20" s="25"/>
    </row>
    <row r="21" ht="19.5" customHeight="1">
      <c r="A21" s="29">
        <v>9.0</v>
      </c>
      <c r="B21" s="22"/>
      <c r="C21" s="22"/>
      <c r="D21" s="21"/>
      <c r="E21" s="21"/>
      <c r="F21" s="21"/>
      <c r="G21" s="21"/>
      <c r="H21" s="21"/>
      <c r="I21" s="21"/>
      <c r="J21" s="22"/>
      <c r="K21" s="21"/>
    </row>
    <row r="22" ht="19.5" customHeight="1">
      <c r="A22" s="30">
        <v>10.0</v>
      </c>
      <c r="B22" s="26"/>
      <c r="C22" s="26"/>
      <c r="D22" s="25"/>
      <c r="E22" s="25"/>
      <c r="F22" s="25"/>
      <c r="G22" s="25"/>
      <c r="H22" s="25"/>
      <c r="I22" s="25"/>
      <c r="J22" s="26"/>
      <c r="K22" s="25"/>
    </row>
    <row r="23" ht="19.5" customHeight="1">
      <c r="A23" s="29">
        <v>11.0</v>
      </c>
      <c r="B23" s="22"/>
      <c r="C23" s="22"/>
      <c r="D23" s="21"/>
      <c r="E23" s="21"/>
      <c r="F23" s="21"/>
      <c r="G23" s="21"/>
      <c r="H23" s="21"/>
      <c r="I23" s="21"/>
      <c r="J23" s="22"/>
      <c r="K23" s="21"/>
    </row>
    <row r="24" ht="19.5" customHeight="1">
      <c r="A24" s="30">
        <v>12.0</v>
      </c>
      <c r="B24" s="26"/>
      <c r="C24" s="26"/>
      <c r="D24" s="25"/>
      <c r="E24" s="25"/>
      <c r="F24" s="25"/>
      <c r="G24" s="25"/>
      <c r="H24" s="25"/>
      <c r="I24" s="25"/>
      <c r="J24" s="26"/>
      <c r="K24" s="25"/>
    </row>
    <row r="25" ht="19.5" customHeight="1">
      <c r="A25" s="29">
        <v>13.0</v>
      </c>
      <c r="B25" s="22"/>
      <c r="C25" s="22"/>
      <c r="D25" s="21"/>
      <c r="E25" s="21"/>
      <c r="F25" s="21"/>
      <c r="G25" s="21"/>
      <c r="H25" s="21"/>
      <c r="I25" s="21"/>
      <c r="J25" s="22"/>
      <c r="K25" s="21"/>
    </row>
    <row r="26" ht="19.5" customHeight="1">
      <c r="A26" s="30">
        <v>14.0</v>
      </c>
      <c r="B26" s="26"/>
      <c r="C26" s="26"/>
      <c r="D26" s="25"/>
      <c r="E26" s="25"/>
      <c r="F26" s="25"/>
      <c r="G26" s="25"/>
      <c r="H26" s="25"/>
      <c r="I26" s="25"/>
      <c r="J26" s="26"/>
      <c r="K26" s="25"/>
    </row>
    <row r="27" ht="19.5" customHeight="1">
      <c r="A27" s="29">
        <v>15.0</v>
      </c>
      <c r="B27" s="22"/>
      <c r="C27" s="22"/>
      <c r="D27" s="21"/>
      <c r="E27" s="21"/>
      <c r="F27" s="21"/>
      <c r="G27" s="21"/>
      <c r="H27" s="21"/>
      <c r="I27" s="21"/>
      <c r="J27" s="22"/>
      <c r="K27" s="21"/>
    </row>
    <row r="28" ht="19.5" customHeight="1">
      <c r="A28" s="30">
        <v>16.0</v>
      </c>
      <c r="B28" s="26"/>
      <c r="C28" s="26"/>
      <c r="D28" s="25"/>
      <c r="E28" s="25"/>
      <c r="F28" s="25"/>
      <c r="G28" s="25"/>
      <c r="H28" s="25"/>
      <c r="I28" s="25"/>
      <c r="J28" s="26"/>
      <c r="K28" s="25"/>
    </row>
    <row r="29" ht="19.5" customHeight="1">
      <c r="A29" s="29">
        <v>17.0</v>
      </c>
      <c r="B29" s="22"/>
      <c r="C29" s="22"/>
      <c r="D29" s="21"/>
      <c r="E29" s="21"/>
      <c r="F29" s="21"/>
      <c r="G29" s="21"/>
      <c r="H29" s="21"/>
      <c r="I29" s="21"/>
      <c r="J29" s="22"/>
      <c r="K29" s="21"/>
    </row>
    <row r="30" ht="19.5" customHeight="1">
      <c r="A30" s="30">
        <v>18.0</v>
      </c>
      <c r="B30" s="26"/>
      <c r="C30" s="26"/>
      <c r="D30" s="25"/>
      <c r="E30" s="25"/>
      <c r="F30" s="25"/>
      <c r="G30" s="25"/>
      <c r="H30" s="25"/>
      <c r="I30" s="25"/>
      <c r="J30" s="26"/>
      <c r="K30" s="25"/>
    </row>
    <row r="31" ht="19.5" customHeight="1">
      <c r="A31" s="29">
        <v>19.0</v>
      </c>
      <c r="B31" s="22"/>
      <c r="C31" s="22"/>
      <c r="D31" s="21"/>
      <c r="E31" s="21"/>
      <c r="F31" s="21"/>
      <c r="G31" s="21"/>
      <c r="H31" s="21"/>
      <c r="I31" s="21"/>
      <c r="J31" s="22"/>
      <c r="K31" s="21"/>
    </row>
    <row r="32" ht="19.5" customHeight="1">
      <c r="A32" s="30">
        <v>20.0</v>
      </c>
      <c r="B32" s="26"/>
      <c r="C32" s="26"/>
      <c r="D32" s="25"/>
      <c r="E32" s="25"/>
      <c r="F32" s="25"/>
      <c r="G32" s="25"/>
      <c r="H32" s="25"/>
      <c r="I32" s="25"/>
      <c r="J32" s="26"/>
      <c r="K32" s="25"/>
    </row>
    <row r="33" ht="19.5" customHeight="1">
      <c r="A33" s="29">
        <v>21.0</v>
      </c>
      <c r="B33" s="22"/>
      <c r="C33" s="22"/>
      <c r="D33" s="21"/>
      <c r="E33" s="21"/>
      <c r="F33" s="21"/>
      <c r="G33" s="21"/>
      <c r="H33" s="21"/>
      <c r="I33" s="21"/>
      <c r="J33" s="22"/>
      <c r="K33" s="21"/>
    </row>
    <row r="34" ht="19.5" customHeight="1">
      <c r="A34" s="30">
        <v>22.0</v>
      </c>
      <c r="B34" s="26"/>
      <c r="C34" s="26"/>
      <c r="D34" s="25"/>
      <c r="E34" s="25"/>
      <c r="F34" s="25"/>
      <c r="G34" s="25"/>
      <c r="H34" s="25"/>
      <c r="I34" s="25"/>
      <c r="J34" s="26"/>
      <c r="K34" s="25"/>
    </row>
    <row r="35" ht="19.5" customHeight="1">
      <c r="A35" s="29">
        <v>23.0</v>
      </c>
      <c r="B35" s="22"/>
      <c r="C35" s="22"/>
      <c r="D35" s="21"/>
      <c r="E35" s="21"/>
      <c r="F35" s="21"/>
      <c r="G35" s="21"/>
      <c r="H35" s="21"/>
      <c r="I35" s="21"/>
      <c r="J35" s="22"/>
      <c r="K35" s="21"/>
    </row>
    <row r="36" ht="19.5" customHeight="1">
      <c r="A36" s="30">
        <v>24.0</v>
      </c>
      <c r="B36" s="26"/>
      <c r="C36" s="26"/>
      <c r="D36" s="25"/>
      <c r="E36" s="25"/>
      <c r="F36" s="25"/>
      <c r="G36" s="25"/>
      <c r="H36" s="25"/>
      <c r="I36" s="25"/>
      <c r="J36" s="26"/>
      <c r="K36" s="25"/>
    </row>
    <row r="37" ht="19.5" customHeight="1">
      <c r="A37" s="29">
        <v>25.0</v>
      </c>
      <c r="B37" s="22"/>
      <c r="C37" s="22"/>
      <c r="D37" s="21"/>
      <c r="E37" s="21"/>
      <c r="F37" s="21"/>
      <c r="G37" s="21"/>
      <c r="H37" s="21"/>
      <c r="I37" s="21"/>
      <c r="J37" s="22"/>
      <c r="K37" s="21"/>
    </row>
    <row r="38" ht="19.5" customHeight="1">
      <c r="A38" s="30">
        <v>26.0</v>
      </c>
      <c r="B38" s="26"/>
      <c r="C38" s="26"/>
      <c r="D38" s="25"/>
      <c r="E38" s="25"/>
      <c r="F38" s="25"/>
      <c r="G38" s="25"/>
      <c r="H38" s="25"/>
      <c r="I38" s="25"/>
      <c r="J38" s="26"/>
      <c r="K38" s="25"/>
    </row>
    <row r="39" ht="19.5" customHeight="1">
      <c r="A39" s="29">
        <v>27.0</v>
      </c>
      <c r="B39" s="22"/>
      <c r="C39" s="22"/>
      <c r="D39" s="21"/>
      <c r="E39" s="21"/>
      <c r="F39" s="21"/>
      <c r="G39" s="21"/>
      <c r="H39" s="21"/>
      <c r="I39" s="21"/>
      <c r="J39" s="22"/>
      <c r="K39" s="21"/>
    </row>
    <row r="40" ht="19.5" customHeight="1">
      <c r="A40" s="30">
        <v>28.0</v>
      </c>
      <c r="B40" s="26"/>
      <c r="C40" s="26"/>
      <c r="D40" s="25"/>
      <c r="E40" s="25"/>
      <c r="F40" s="25"/>
      <c r="G40" s="25"/>
      <c r="H40" s="25"/>
      <c r="I40" s="25"/>
      <c r="J40" s="26"/>
      <c r="K40" s="25"/>
    </row>
    <row r="41" ht="19.5" customHeight="1">
      <c r="A41" s="29">
        <v>29.0</v>
      </c>
      <c r="B41" s="22"/>
      <c r="C41" s="22"/>
      <c r="D41" s="21"/>
      <c r="E41" s="21"/>
      <c r="F41" s="21"/>
      <c r="G41" s="21"/>
      <c r="H41" s="21"/>
      <c r="I41" s="21"/>
      <c r="J41" s="22"/>
      <c r="K41" s="21"/>
    </row>
    <row r="42" ht="19.5" customHeight="1">
      <c r="A42" s="30">
        <v>30.0</v>
      </c>
      <c r="B42" s="26"/>
      <c r="C42" s="26"/>
      <c r="D42" s="25"/>
      <c r="E42" s="25"/>
      <c r="F42" s="25"/>
      <c r="G42" s="25"/>
      <c r="H42" s="25"/>
      <c r="I42" s="25"/>
      <c r="J42" s="26"/>
      <c r="K42" s="25"/>
    </row>
    <row r="43" ht="19.5" customHeight="1">
      <c r="A43" s="29">
        <v>31.0</v>
      </c>
      <c r="B43" s="22"/>
      <c r="C43" s="22"/>
      <c r="D43" s="21"/>
      <c r="E43" s="21"/>
      <c r="F43" s="21"/>
      <c r="G43" s="21"/>
      <c r="H43" s="21"/>
      <c r="I43" s="21"/>
      <c r="J43" s="22"/>
      <c r="K43" s="21"/>
    </row>
    <row r="44" ht="19.5" customHeight="1">
      <c r="A44" s="30">
        <v>32.0</v>
      </c>
      <c r="B44" s="26"/>
      <c r="C44" s="26"/>
      <c r="D44" s="25"/>
      <c r="E44" s="25"/>
      <c r="F44" s="25"/>
      <c r="G44" s="25"/>
      <c r="H44" s="25"/>
      <c r="I44" s="25"/>
      <c r="J44" s="26"/>
      <c r="K44" s="25"/>
    </row>
    <row r="45" ht="19.5" customHeight="1">
      <c r="A45" s="29">
        <v>33.0</v>
      </c>
      <c r="B45" s="22"/>
      <c r="C45" s="22"/>
      <c r="D45" s="21"/>
      <c r="E45" s="21"/>
      <c r="F45" s="21"/>
      <c r="G45" s="21"/>
      <c r="H45" s="21"/>
      <c r="I45" s="21"/>
      <c r="J45" s="22"/>
      <c r="K45" s="21"/>
    </row>
    <row r="46" ht="19.5" customHeight="1">
      <c r="A46" s="30">
        <v>34.0</v>
      </c>
      <c r="B46" s="26"/>
      <c r="C46" s="26"/>
      <c r="D46" s="25"/>
      <c r="E46" s="25"/>
      <c r="F46" s="25"/>
      <c r="G46" s="25"/>
      <c r="H46" s="25"/>
      <c r="I46" s="25"/>
      <c r="J46" s="26"/>
      <c r="K46" s="25"/>
    </row>
    <row r="47" ht="19.5" customHeight="1">
      <c r="A47" s="29">
        <v>35.0</v>
      </c>
      <c r="B47" s="22"/>
      <c r="C47" s="22"/>
      <c r="D47" s="21"/>
      <c r="E47" s="21"/>
      <c r="F47" s="21"/>
      <c r="G47" s="21"/>
      <c r="H47" s="21"/>
      <c r="I47" s="21"/>
      <c r="J47" s="22"/>
      <c r="K47" s="21"/>
    </row>
    <row r="48" ht="19.5" customHeight="1">
      <c r="A48" s="30">
        <v>36.0</v>
      </c>
      <c r="B48" s="26"/>
      <c r="C48" s="26"/>
      <c r="D48" s="25"/>
      <c r="E48" s="25"/>
      <c r="F48" s="25"/>
      <c r="G48" s="25"/>
      <c r="H48" s="25"/>
      <c r="I48" s="25"/>
      <c r="J48" s="26"/>
      <c r="K48" s="25"/>
    </row>
    <row r="49" ht="19.5" customHeight="1">
      <c r="A49" s="29">
        <v>37.0</v>
      </c>
      <c r="B49" s="22"/>
      <c r="C49" s="22"/>
      <c r="D49" s="21"/>
      <c r="E49" s="21"/>
      <c r="F49" s="21"/>
      <c r="G49" s="21"/>
      <c r="H49" s="21"/>
      <c r="I49" s="21"/>
      <c r="J49" s="22"/>
      <c r="K49" s="21"/>
    </row>
    <row r="50" ht="19.5" customHeight="1">
      <c r="A50" s="30">
        <v>38.0</v>
      </c>
      <c r="B50" s="26"/>
      <c r="C50" s="26"/>
      <c r="D50" s="25"/>
      <c r="E50" s="25"/>
      <c r="F50" s="25"/>
      <c r="G50" s="25"/>
      <c r="H50" s="25"/>
      <c r="I50" s="25"/>
      <c r="J50" s="26"/>
      <c r="K50" s="25"/>
    </row>
    <row r="51" ht="19.5" customHeight="1">
      <c r="A51" s="29">
        <v>39.0</v>
      </c>
      <c r="B51" s="22"/>
      <c r="C51" s="22"/>
      <c r="D51" s="21"/>
      <c r="E51" s="21"/>
      <c r="F51" s="21"/>
      <c r="G51" s="21"/>
      <c r="H51" s="21"/>
      <c r="I51" s="21"/>
      <c r="J51" s="22"/>
      <c r="K51" s="21"/>
    </row>
    <row r="52" ht="19.5" customHeight="1">
      <c r="A52" s="30">
        <v>40.0</v>
      </c>
      <c r="B52" s="26"/>
      <c r="C52" s="26"/>
      <c r="D52" s="25"/>
      <c r="E52" s="25"/>
      <c r="F52" s="25"/>
      <c r="G52" s="25"/>
      <c r="H52" s="25"/>
      <c r="I52" s="25"/>
      <c r="J52" s="26"/>
      <c r="K52" s="25"/>
    </row>
    <row r="53" ht="19.5" customHeight="1">
      <c r="A53" s="29">
        <v>41.0</v>
      </c>
      <c r="B53" s="22"/>
      <c r="C53" s="22"/>
      <c r="D53" s="21"/>
      <c r="E53" s="21"/>
      <c r="F53" s="21"/>
      <c r="G53" s="21"/>
      <c r="H53" s="21"/>
      <c r="I53" s="21"/>
      <c r="J53" s="22"/>
      <c r="K53" s="21"/>
    </row>
    <row r="54" ht="19.5" customHeight="1">
      <c r="A54" s="30">
        <v>42.0</v>
      </c>
      <c r="B54" s="26"/>
      <c r="C54" s="26"/>
      <c r="D54" s="25"/>
      <c r="E54" s="25"/>
      <c r="F54" s="25"/>
      <c r="G54" s="25"/>
      <c r="H54" s="25"/>
      <c r="I54" s="25"/>
      <c r="J54" s="26"/>
      <c r="K54" s="25"/>
    </row>
    <row r="55" ht="19.5" customHeight="1">
      <c r="A55" s="29">
        <v>43.0</v>
      </c>
      <c r="B55" s="22"/>
      <c r="C55" s="22"/>
      <c r="D55" s="21"/>
      <c r="E55" s="21"/>
      <c r="F55" s="21"/>
      <c r="G55" s="21"/>
      <c r="H55" s="21"/>
      <c r="I55" s="21"/>
      <c r="J55" s="22"/>
      <c r="K55" s="21"/>
    </row>
    <row r="56" ht="19.5" customHeight="1">
      <c r="A56" s="30">
        <v>44.0</v>
      </c>
      <c r="B56" s="26"/>
      <c r="C56" s="26"/>
      <c r="D56" s="25"/>
      <c r="E56" s="25"/>
      <c r="F56" s="25"/>
      <c r="G56" s="25"/>
      <c r="H56" s="25"/>
      <c r="I56" s="25"/>
      <c r="J56" s="26"/>
      <c r="K56" s="25"/>
    </row>
    <row r="57" ht="19.5" customHeight="1">
      <c r="A57" s="29">
        <v>45.0</v>
      </c>
      <c r="B57" s="22"/>
      <c r="C57" s="22"/>
      <c r="D57" s="21"/>
      <c r="E57" s="21"/>
      <c r="F57" s="21"/>
      <c r="G57" s="21"/>
      <c r="H57" s="21"/>
      <c r="I57" s="21"/>
      <c r="J57" s="22"/>
      <c r="K57" s="21"/>
    </row>
    <row r="58" ht="19.5" customHeight="1">
      <c r="A58" s="30">
        <v>46.0</v>
      </c>
      <c r="B58" s="26"/>
      <c r="C58" s="26"/>
      <c r="D58" s="25"/>
      <c r="E58" s="25"/>
      <c r="F58" s="25"/>
      <c r="G58" s="25"/>
      <c r="H58" s="25"/>
      <c r="I58" s="25"/>
      <c r="J58" s="26"/>
      <c r="K58" s="25"/>
    </row>
    <row r="59" ht="19.5" customHeight="1">
      <c r="A59" s="29">
        <v>47.0</v>
      </c>
      <c r="B59" s="22"/>
      <c r="C59" s="22"/>
      <c r="D59" s="21"/>
      <c r="E59" s="21"/>
      <c r="F59" s="21"/>
      <c r="G59" s="21"/>
      <c r="H59" s="21"/>
      <c r="I59" s="21"/>
      <c r="J59" s="22"/>
      <c r="K59" s="21"/>
    </row>
    <row r="60" ht="19.5" customHeight="1">
      <c r="A60" s="30">
        <v>48.0</v>
      </c>
      <c r="B60" s="26"/>
      <c r="C60" s="26"/>
      <c r="D60" s="25"/>
      <c r="E60" s="25"/>
      <c r="F60" s="25"/>
      <c r="G60" s="25"/>
      <c r="H60" s="25"/>
      <c r="I60" s="25"/>
      <c r="J60" s="26"/>
      <c r="K60" s="25"/>
    </row>
    <row r="61" ht="19.5" customHeight="1">
      <c r="A61" s="29">
        <v>49.0</v>
      </c>
      <c r="B61" s="22"/>
      <c r="C61" s="22"/>
      <c r="D61" s="21"/>
      <c r="E61" s="21"/>
      <c r="F61" s="21"/>
      <c r="G61" s="21"/>
      <c r="H61" s="21"/>
      <c r="I61" s="21"/>
      <c r="J61" s="22"/>
      <c r="K61" s="21"/>
    </row>
    <row r="62" ht="19.5" customHeight="1">
      <c r="A62" s="30">
        <v>50.0</v>
      </c>
      <c r="B62" s="26"/>
      <c r="C62" s="26"/>
      <c r="D62" s="25"/>
      <c r="E62" s="25"/>
      <c r="F62" s="25"/>
      <c r="G62" s="25"/>
      <c r="H62" s="25"/>
      <c r="I62" s="25"/>
      <c r="J62" s="26"/>
      <c r="K62" s="2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3:K3"/>
    <mergeCell ref="A4:K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59B6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8.0"/>
    <col customWidth="1" min="4" max="4" width="16.0"/>
    <col customWidth="1" min="5" max="5" width="14.0"/>
    <col customWidth="1" min="6" max="7" width="16.0"/>
    <col customWidth="1" min="8" max="8" width="20.0"/>
    <col customWidth="1" min="9" max="9" width="22.0"/>
    <col customWidth="1" min="10" max="26" width="8.71"/>
  </cols>
  <sheetData>
    <row r="1" ht="6.0" customHeight="1"/>
    <row r="2" ht="39.75" customHeight="1">
      <c r="A2" s="1" t="s">
        <v>397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4" t="s">
        <v>398</v>
      </c>
      <c r="B3" s="2"/>
      <c r="C3" s="2"/>
      <c r="D3" s="2"/>
      <c r="E3" s="2"/>
      <c r="F3" s="2"/>
      <c r="G3" s="2"/>
      <c r="H3" s="2"/>
      <c r="I3" s="3"/>
    </row>
    <row r="4" ht="19.5" customHeight="1">
      <c r="A4" s="5" t="s">
        <v>399</v>
      </c>
      <c r="B4" s="2"/>
      <c r="C4" s="2"/>
      <c r="D4" s="2"/>
      <c r="E4" s="2"/>
      <c r="F4" s="2"/>
      <c r="G4" s="2"/>
      <c r="H4" s="2"/>
      <c r="I4" s="3"/>
    </row>
    <row r="5" ht="18.0" customHeight="1">
      <c r="A5" s="43" t="s">
        <v>400</v>
      </c>
      <c r="B5" s="8"/>
      <c r="C5" s="8"/>
      <c r="D5" s="8"/>
      <c r="E5" s="8"/>
      <c r="F5" s="8"/>
      <c r="G5" s="8"/>
      <c r="H5" s="8"/>
      <c r="I5" s="9"/>
    </row>
    <row r="6" ht="21.75" customHeight="1">
      <c r="A6" s="44" t="s">
        <v>401</v>
      </c>
      <c r="B6" s="8"/>
      <c r="C6" s="9"/>
      <c r="D6" s="45" t="s">
        <v>402</v>
      </c>
      <c r="E6" s="8"/>
      <c r="F6" s="8"/>
      <c r="G6" s="8"/>
      <c r="H6" s="8"/>
      <c r="I6" s="9"/>
    </row>
    <row r="7" ht="21.75" customHeight="1">
      <c r="A7" s="44" t="s">
        <v>403</v>
      </c>
      <c r="B7" s="8"/>
      <c r="C7" s="9"/>
      <c r="D7" s="45" t="s">
        <v>404</v>
      </c>
      <c r="E7" s="8"/>
      <c r="F7" s="8"/>
      <c r="G7" s="8"/>
      <c r="H7" s="8"/>
      <c r="I7" s="9"/>
    </row>
    <row r="8" ht="21.75" customHeight="1">
      <c r="A8" s="44" t="s">
        <v>405</v>
      </c>
      <c r="B8" s="8"/>
      <c r="C8" s="9"/>
      <c r="D8" s="45" t="s">
        <v>406</v>
      </c>
      <c r="E8" s="8"/>
      <c r="F8" s="8"/>
      <c r="G8" s="8"/>
      <c r="H8" s="8"/>
      <c r="I8" s="9"/>
    </row>
    <row r="9" ht="21.75" customHeight="1">
      <c r="A9" s="44" t="s">
        <v>407</v>
      </c>
      <c r="B9" s="8"/>
      <c r="C9" s="9"/>
      <c r="D9" s="45" t="s">
        <v>408</v>
      </c>
      <c r="E9" s="8"/>
      <c r="F9" s="8"/>
      <c r="G9" s="8"/>
      <c r="H9" s="8"/>
      <c r="I9" s="9"/>
    </row>
    <row r="10" ht="21.75" customHeight="1">
      <c r="A10" s="44" t="s">
        <v>409</v>
      </c>
      <c r="B10" s="8"/>
      <c r="C10" s="9"/>
      <c r="D10" s="45" t="s">
        <v>410</v>
      </c>
      <c r="E10" s="8"/>
      <c r="F10" s="8"/>
      <c r="G10" s="8"/>
      <c r="H10" s="8"/>
      <c r="I10" s="9"/>
    </row>
    <row r="11" ht="21.75" customHeight="1">
      <c r="A11" s="44" t="s">
        <v>411</v>
      </c>
      <c r="B11" s="8"/>
      <c r="C11" s="9"/>
      <c r="D11" s="45" t="s">
        <v>38</v>
      </c>
      <c r="E11" s="8"/>
      <c r="F11" s="8"/>
      <c r="G11" s="8"/>
      <c r="H11" s="8"/>
      <c r="I11" s="9"/>
    </row>
    <row r="12" ht="21.75" customHeight="1">
      <c r="A12" s="44" t="s">
        <v>412</v>
      </c>
      <c r="B12" s="8"/>
      <c r="C12" s="9"/>
      <c r="D12" s="45" t="s">
        <v>38</v>
      </c>
      <c r="E12" s="8"/>
      <c r="F12" s="8"/>
      <c r="G12" s="8"/>
      <c r="H12" s="8"/>
      <c r="I12" s="9"/>
    </row>
    <row r="13" ht="18.0" customHeight="1">
      <c r="A13" s="7" t="s">
        <v>413</v>
      </c>
      <c r="B13" s="8"/>
      <c r="C13" s="8"/>
      <c r="D13" s="8"/>
      <c r="E13" s="8"/>
      <c r="F13" s="8"/>
      <c r="G13" s="8"/>
      <c r="H13" s="8"/>
      <c r="I13" s="9"/>
    </row>
    <row r="14" ht="36.0" customHeight="1">
      <c r="A14" s="17" t="s">
        <v>3</v>
      </c>
      <c r="B14" s="17" t="s">
        <v>282</v>
      </c>
      <c r="C14" s="17" t="s">
        <v>414</v>
      </c>
      <c r="D14" s="17" t="s">
        <v>285</v>
      </c>
      <c r="E14" s="17" t="s">
        <v>287</v>
      </c>
      <c r="F14" s="17" t="s">
        <v>415</v>
      </c>
      <c r="G14" s="17" t="s">
        <v>416</v>
      </c>
      <c r="H14" s="17" t="s">
        <v>417</v>
      </c>
      <c r="I14" s="17" t="s">
        <v>418</v>
      </c>
    </row>
    <row r="15" ht="19.5" customHeight="1">
      <c r="A15" s="21">
        <v>1.0</v>
      </c>
      <c r="B15" s="22" t="s">
        <v>295</v>
      </c>
      <c r="C15" s="22" t="s">
        <v>297</v>
      </c>
      <c r="D15" s="22" t="s">
        <v>298</v>
      </c>
      <c r="E15" s="22" t="s">
        <v>300</v>
      </c>
      <c r="F15" s="21" t="s">
        <v>419</v>
      </c>
      <c r="G15" s="21">
        <v>850.0</v>
      </c>
      <c r="H15" s="22" t="s">
        <v>420</v>
      </c>
      <c r="I15" s="22" t="s">
        <v>421</v>
      </c>
    </row>
    <row r="16" ht="19.5" customHeight="1">
      <c r="A16" s="25">
        <v>2.0</v>
      </c>
      <c r="B16" s="26" t="s">
        <v>303</v>
      </c>
      <c r="C16" s="26" t="s">
        <v>304</v>
      </c>
      <c r="D16" s="26"/>
      <c r="E16" s="26" t="s">
        <v>300</v>
      </c>
      <c r="F16" s="25" t="s">
        <v>422</v>
      </c>
      <c r="G16" s="25">
        <v>200.0</v>
      </c>
      <c r="H16" s="26" t="s">
        <v>423</v>
      </c>
      <c r="I16" s="26"/>
    </row>
    <row r="17" ht="19.5" customHeight="1">
      <c r="A17" s="21">
        <v>3.0</v>
      </c>
      <c r="B17" s="22" t="s">
        <v>424</v>
      </c>
      <c r="C17" s="22" t="s">
        <v>425</v>
      </c>
      <c r="D17" s="22" t="s">
        <v>426</v>
      </c>
      <c r="E17" s="22" t="s">
        <v>318</v>
      </c>
      <c r="F17" s="21" t="s">
        <v>427</v>
      </c>
      <c r="G17" s="21">
        <v>3200.0</v>
      </c>
      <c r="H17" s="22" t="s">
        <v>428</v>
      </c>
      <c r="I17" s="22" t="s">
        <v>429</v>
      </c>
    </row>
    <row r="18" ht="19.5" customHeight="1">
      <c r="A18" s="25">
        <v>4.0</v>
      </c>
      <c r="B18" s="26" t="s">
        <v>430</v>
      </c>
      <c r="C18" s="26" t="s">
        <v>431</v>
      </c>
      <c r="D18" s="26"/>
      <c r="E18" s="26" t="s">
        <v>300</v>
      </c>
      <c r="F18" s="25" t="s">
        <v>422</v>
      </c>
      <c r="G18" s="25">
        <v>50.0</v>
      </c>
      <c r="H18" s="26" t="s">
        <v>432</v>
      </c>
      <c r="I18" s="26"/>
    </row>
    <row r="19" ht="19.5" customHeight="1">
      <c r="A19" s="21">
        <v>5.0</v>
      </c>
      <c r="B19" s="22" t="s">
        <v>433</v>
      </c>
      <c r="C19" s="22" t="s">
        <v>434</v>
      </c>
      <c r="D19" s="22" t="s">
        <v>435</v>
      </c>
      <c r="E19" s="22" t="s">
        <v>300</v>
      </c>
      <c r="F19" s="21" t="s">
        <v>419</v>
      </c>
      <c r="G19" s="21">
        <v>1100.0</v>
      </c>
      <c r="H19" s="22" t="s">
        <v>436</v>
      </c>
      <c r="I19" s="22" t="s">
        <v>437</v>
      </c>
    </row>
    <row r="20" ht="19.5" customHeight="1">
      <c r="A20" s="30">
        <v>1.0</v>
      </c>
      <c r="B20" s="26"/>
      <c r="C20" s="26"/>
      <c r="D20" s="26"/>
      <c r="E20" s="26"/>
      <c r="F20" s="25"/>
      <c r="G20" s="25"/>
      <c r="H20" s="26"/>
      <c r="I20" s="26"/>
    </row>
    <row r="21" ht="19.5" customHeight="1">
      <c r="A21" s="29">
        <v>2.0</v>
      </c>
      <c r="B21" s="22"/>
      <c r="C21" s="22"/>
      <c r="D21" s="22"/>
      <c r="E21" s="22"/>
      <c r="F21" s="21"/>
      <c r="G21" s="21"/>
      <c r="H21" s="22"/>
      <c r="I21" s="22"/>
    </row>
    <row r="22" ht="19.5" customHeight="1">
      <c r="A22" s="30">
        <v>3.0</v>
      </c>
      <c r="B22" s="26"/>
      <c r="C22" s="26"/>
      <c r="D22" s="26"/>
      <c r="E22" s="26"/>
      <c r="F22" s="25"/>
      <c r="G22" s="25"/>
      <c r="H22" s="26"/>
      <c r="I22" s="26"/>
    </row>
    <row r="23" ht="19.5" customHeight="1">
      <c r="A23" s="29">
        <v>4.0</v>
      </c>
      <c r="B23" s="22"/>
      <c r="C23" s="22"/>
      <c r="D23" s="22"/>
      <c r="E23" s="22"/>
      <c r="F23" s="21"/>
      <c r="G23" s="21"/>
      <c r="H23" s="22"/>
      <c r="I23" s="22"/>
    </row>
    <row r="24" ht="19.5" customHeight="1">
      <c r="A24" s="30">
        <v>5.0</v>
      </c>
      <c r="B24" s="26"/>
      <c r="C24" s="26"/>
      <c r="D24" s="26"/>
      <c r="E24" s="26"/>
      <c r="F24" s="25"/>
      <c r="G24" s="25"/>
      <c r="H24" s="26"/>
      <c r="I24" s="26"/>
    </row>
    <row r="25" ht="19.5" customHeight="1">
      <c r="A25" s="29">
        <v>6.0</v>
      </c>
      <c r="B25" s="22"/>
      <c r="C25" s="22"/>
      <c r="D25" s="22"/>
      <c r="E25" s="22"/>
      <c r="F25" s="21"/>
      <c r="G25" s="21"/>
      <c r="H25" s="22"/>
      <c r="I25" s="22"/>
    </row>
    <row r="26" ht="19.5" customHeight="1">
      <c r="A26" s="30">
        <v>7.0</v>
      </c>
      <c r="B26" s="26"/>
      <c r="C26" s="26"/>
      <c r="D26" s="26"/>
      <c r="E26" s="26"/>
      <c r="F26" s="25"/>
      <c r="G26" s="25"/>
      <c r="H26" s="26"/>
      <c r="I26" s="26"/>
    </row>
    <row r="27" ht="19.5" customHeight="1">
      <c r="A27" s="29">
        <v>8.0</v>
      </c>
      <c r="B27" s="22"/>
      <c r="C27" s="22"/>
      <c r="D27" s="22"/>
      <c r="E27" s="22"/>
      <c r="F27" s="21"/>
      <c r="G27" s="21"/>
      <c r="H27" s="22"/>
      <c r="I27" s="22"/>
    </row>
    <row r="28" ht="19.5" customHeight="1">
      <c r="A28" s="30">
        <v>9.0</v>
      </c>
      <c r="B28" s="26"/>
      <c r="C28" s="26"/>
      <c r="D28" s="26"/>
      <c r="E28" s="26"/>
      <c r="F28" s="25"/>
      <c r="G28" s="25"/>
      <c r="H28" s="26"/>
      <c r="I28" s="26"/>
    </row>
    <row r="29" ht="19.5" customHeight="1">
      <c r="A29" s="29">
        <v>10.0</v>
      </c>
      <c r="B29" s="22"/>
      <c r="C29" s="22"/>
      <c r="D29" s="22"/>
      <c r="E29" s="22"/>
      <c r="F29" s="21"/>
      <c r="G29" s="21"/>
      <c r="H29" s="22"/>
      <c r="I29" s="22"/>
    </row>
    <row r="30" ht="19.5" customHeight="1">
      <c r="A30" s="30">
        <v>11.0</v>
      </c>
      <c r="B30" s="26"/>
      <c r="C30" s="26"/>
      <c r="D30" s="26"/>
      <c r="E30" s="26"/>
      <c r="F30" s="25"/>
      <c r="G30" s="25"/>
      <c r="H30" s="26"/>
      <c r="I30" s="26"/>
    </row>
    <row r="31" ht="19.5" customHeight="1">
      <c r="A31" s="29">
        <v>12.0</v>
      </c>
      <c r="B31" s="22"/>
      <c r="C31" s="22"/>
      <c r="D31" s="22"/>
      <c r="E31" s="22"/>
      <c r="F31" s="21"/>
      <c r="G31" s="21"/>
      <c r="H31" s="22"/>
      <c r="I31" s="22"/>
    </row>
    <row r="32" ht="19.5" customHeight="1">
      <c r="A32" s="30">
        <v>13.0</v>
      </c>
      <c r="B32" s="26"/>
      <c r="C32" s="26"/>
      <c r="D32" s="26"/>
      <c r="E32" s="26"/>
      <c r="F32" s="25"/>
      <c r="G32" s="25"/>
      <c r="H32" s="26"/>
      <c r="I32" s="26"/>
    </row>
    <row r="33" ht="19.5" customHeight="1">
      <c r="A33" s="29">
        <v>14.0</v>
      </c>
      <c r="B33" s="22"/>
      <c r="C33" s="22"/>
      <c r="D33" s="22"/>
      <c r="E33" s="22"/>
      <c r="F33" s="21"/>
      <c r="G33" s="21"/>
      <c r="H33" s="22"/>
      <c r="I33" s="22"/>
    </row>
    <row r="34" ht="19.5" customHeight="1">
      <c r="A34" s="30">
        <v>15.0</v>
      </c>
      <c r="B34" s="26"/>
      <c r="C34" s="26"/>
      <c r="D34" s="26"/>
      <c r="E34" s="26"/>
      <c r="F34" s="25"/>
      <c r="G34" s="25"/>
      <c r="H34" s="26"/>
      <c r="I34" s="26"/>
    </row>
    <row r="35" ht="19.5" customHeight="1">
      <c r="A35" s="29">
        <v>16.0</v>
      </c>
      <c r="B35" s="22"/>
      <c r="C35" s="22"/>
      <c r="D35" s="22"/>
      <c r="E35" s="22"/>
      <c r="F35" s="21"/>
      <c r="G35" s="21"/>
      <c r="H35" s="22"/>
      <c r="I35" s="22"/>
    </row>
    <row r="36" ht="19.5" customHeight="1">
      <c r="A36" s="30">
        <v>17.0</v>
      </c>
      <c r="B36" s="26"/>
      <c r="C36" s="26"/>
      <c r="D36" s="26"/>
      <c r="E36" s="26"/>
      <c r="F36" s="25"/>
      <c r="G36" s="25"/>
      <c r="H36" s="26"/>
      <c r="I36" s="26"/>
    </row>
    <row r="37" ht="19.5" customHeight="1">
      <c r="A37" s="29">
        <v>18.0</v>
      </c>
      <c r="B37" s="22"/>
      <c r="C37" s="22"/>
      <c r="D37" s="22"/>
      <c r="E37" s="22"/>
      <c r="F37" s="21"/>
      <c r="G37" s="21"/>
      <c r="H37" s="22"/>
      <c r="I37" s="22"/>
    </row>
    <row r="38" ht="19.5" customHeight="1">
      <c r="A38" s="30">
        <v>19.0</v>
      </c>
      <c r="B38" s="26"/>
      <c r="C38" s="26"/>
      <c r="D38" s="26"/>
      <c r="E38" s="26"/>
      <c r="F38" s="25"/>
      <c r="G38" s="25"/>
      <c r="H38" s="26"/>
      <c r="I38" s="26"/>
    </row>
    <row r="39" ht="19.5" customHeight="1">
      <c r="A39" s="29">
        <v>20.0</v>
      </c>
      <c r="B39" s="22"/>
      <c r="C39" s="22"/>
      <c r="D39" s="22"/>
      <c r="E39" s="22"/>
      <c r="F39" s="21"/>
      <c r="G39" s="21"/>
      <c r="H39" s="22"/>
      <c r="I39" s="22"/>
    </row>
    <row r="40" ht="19.5" customHeight="1">
      <c r="A40" s="30">
        <v>21.0</v>
      </c>
      <c r="B40" s="26"/>
      <c r="C40" s="26"/>
      <c r="D40" s="26"/>
      <c r="E40" s="26"/>
      <c r="F40" s="25"/>
      <c r="G40" s="25"/>
      <c r="H40" s="26"/>
      <c r="I40" s="26"/>
    </row>
    <row r="41" ht="19.5" customHeight="1">
      <c r="A41" s="29">
        <v>22.0</v>
      </c>
      <c r="B41" s="22"/>
      <c r="C41" s="22"/>
      <c r="D41" s="22"/>
      <c r="E41" s="22"/>
      <c r="F41" s="21"/>
      <c r="G41" s="21"/>
      <c r="H41" s="22"/>
      <c r="I41" s="22"/>
    </row>
    <row r="42" ht="19.5" customHeight="1">
      <c r="A42" s="30">
        <v>23.0</v>
      </c>
      <c r="B42" s="26"/>
      <c r="C42" s="26"/>
      <c r="D42" s="26"/>
      <c r="E42" s="26"/>
      <c r="F42" s="25"/>
      <c r="G42" s="25"/>
      <c r="H42" s="26"/>
      <c r="I42" s="26"/>
    </row>
    <row r="43" ht="19.5" customHeight="1">
      <c r="A43" s="29">
        <v>24.0</v>
      </c>
      <c r="B43" s="22"/>
      <c r="C43" s="22"/>
      <c r="D43" s="22"/>
      <c r="E43" s="22"/>
      <c r="F43" s="21"/>
      <c r="G43" s="21"/>
      <c r="H43" s="22"/>
      <c r="I43" s="22"/>
    </row>
    <row r="44" ht="19.5" customHeight="1">
      <c r="A44" s="30">
        <v>25.0</v>
      </c>
      <c r="B44" s="26"/>
      <c r="C44" s="26"/>
      <c r="D44" s="26"/>
      <c r="E44" s="26"/>
      <c r="F44" s="25"/>
      <c r="G44" s="25"/>
      <c r="H44" s="26"/>
      <c r="I44" s="26"/>
    </row>
    <row r="45" ht="19.5" customHeight="1">
      <c r="A45" s="29">
        <v>26.0</v>
      </c>
      <c r="B45" s="22"/>
      <c r="C45" s="22"/>
      <c r="D45" s="22"/>
      <c r="E45" s="22"/>
      <c r="F45" s="21"/>
      <c r="G45" s="21"/>
      <c r="H45" s="22"/>
      <c r="I45" s="22"/>
    </row>
    <row r="46" ht="19.5" customHeight="1">
      <c r="A46" s="30">
        <v>27.0</v>
      </c>
      <c r="B46" s="26"/>
      <c r="C46" s="26"/>
      <c r="D46" s="26"/>
      <c r="E46" s="26"/>
      <c r="F46" s="25"/>
      <c r="G46" s="25"/>
      <c r="H46" s="26"/>
      <c r="I46" s="26"/>
    </row>
    <row r="47" ht="19.5" customHeight="1">
      <c r="A47" s="29">
        <v>28.0</v>
      </c>
      <c r="B47" s="22"/>
      <c r="C47" s="22"/>
      <c r="D47" s="22"/>
      <c r="E47" s="22"/>
      <c r="F47" s="21"/>
      <c r="G47" s="21"/>
      <c r="H47" s="22"/>
      <c r="I47" s="22"/>
    </row>
    <row r="48" ht="19.5" customHeight="1">
      <c r="A48" s="30">
        <v>29.0</v>
      </c>
      <c r="B48" s="26"/>
      <c r="C48" s="26"/>
      <c r="D48" s="26"/>
      <c r="E48" s="26"/>
      <c r="F48" s="25"/>
      <c r="G48" s="25"/>
      <c r="H48" s="26"/>
      <c r="I48" s="26"/>
    </row>
    <row r="49" ht="19.5" customHeight="1">
      <c r="A49" s="29">
        <v>30.0</v>
      </c>
      <c r="B49" s="22"/>
      <c r="C49" s="22"/>
      <c r="D49" s="22"/>
      <c r="E49" s="22"/>
      <c r="F49" s="21"/>
      <c r="G49" s="21"/>
      <c r="H49" s="22"/>
      <c r="I49" s="22"/>
    </row>
    <row r="50" ht="19.5" customHeight="1">
      <c r="A50" s="30">
        <v>31.0</v>
      </c>
      <c r="B50" s="26"/>
      <c r="C50" s="26"/>
      <c r="D50" s="26"/>
      <c r="E50" s="26"/>
      <c r="F50" s="25"/>
      <c r="G50" s="25"/>
      <c r="H50" s="26"/>
      <c r="I50" s="26"/>
    </row>
    <row r="51" ht="19.5" customHeight="1">
      <c r="A51" s="29">
        <v>32.0</v>
      </c>
      <c r="B51" s="22"/>
      <c r="C51" s="22"/>
      <c r="D51" s="22"/>
      <c r="E51" s="22"/>
      <c r="F51" s="21"/>
      <c r="G51" s="21"/>
      <c r="H51" s="22"/>
      <c r="I51" s="22"/>
    </row>
    <row r="52" ht="19.5" customHeight="1">
      <c r="A52" s="30">
        <v>33.0</v>
      </c>
      <c r="B52" s="26"/>
      <c r="C52" s="26"/>
      <c r="D52" s="26"/>
      <c r="E52" s="26"/>
      <c r="F52" s="25"/>
      <c r="G52" s="25"/>
      <c r="H52" s="26"/>
      <c r="I52" s="26"/>
    </row>
    <row r="53" ht="19.5" customHeight="1">
      <c r="A53" s="29">
        <v>34.0</v>
      </c>
      <c r="B53" s="22"/>
      <c r="C53" s="22"/>
      <c r="D53" s="22"/>
      <c r="E53" s="22"/>
      <c r="F53" s="21"/>
      <c r="G53" s="21"/>
      <c r="H53" s="22"/>
      <c r="I53" s="22"/>
    </row>
    <row r="54" ht="19.5" customHeight="1">
      <c r="A54" s="30">
        <v>35.0</v>
      </c>
      <c r="B54" s="26"/>
      <c r="C54" s="26"/>
      <c r="D54" s="26"/>
      <c r="E54" s="26"/>
      <c r="F54" s="25"/>
      <c r="G54" s="25"/>
      <c r="H54" s="26"/>
      <c r="I54" s="26"/>
    </row>
    <row r="55" ht="19.5" customHeight="1">
      <c r="A55" s="29">
        <v>36.0</v>
      </c>
      <c r="B55" s="22"/>
      <c r="C55" s="22"/>
      <c r="D55" s="22"/>
      <c r="E55" s="22"/>
      <c r="F55" s="21"/>
      <c r="G55" s="21"/>
      <c r="H55" s="22"/>
      <c r="I55" s="22"/>
    </row>
    <row r="56" ht="19.5" customHeight="1">
      <c r="A56" s="30">
        <v>37.0</v>
      </c>
      <c r="B56" s="26"/>
      <c r="C56" s="26"/>
      <c r="D56" s="26"/>
      <c r="E56" s="26"/>
      <c r="F56" s="25"/>
      <c r="G56" s="25"/>
      <c r="H56" s="26"/>
      <c r="I56" s="26"/>
    </row>
    <row r="57" ht="19.5" customHeight="1">
      <c r="A57" s="29">
        <v>38.0</v>
      </c>
      <c r="B57" s="22"/>
      <c r="C57" s="22"/>
      <c r="D57" s="22"/>
      <c r="E57" s="22"/>
      <c r="F57" s="21"/>
      <c r="G57" s="21"/>
      <c r="H57" s="22"/>
      <c r="I57" s="22"/>
    </row>
    <row r="58" ht="19.5" customHeight="1">
      <c r="A58" s="30">
        <v>39.0</v>
      </c>
      <c r="B58" s="26"/>
      <c r="C58" s="26"/>
      <c r="D58" s="26"/>
      <c r="E58" s="26"/>
      <c r="F58" s="25"/>
      <c r="G58" s="25"/>
      <c r="H58" s="26"/>
      <c r="I58" s="26"/>
    </row>
    <row r="59" ht="19.5" customHeight="1">
      <c r="A59" s="29">
        <v>40.0</v>
      </c>
      <c r="B59" s="22"/>
      <c r="C59" s="22"/>
      <c r="D59" s="22"/>
      <c r="E59" s="22"/>
      <c r="F59" s="21"/>
      <c r="G59" s="21"/>
      <c r="H59" s="22"/>
      <c r="I59" s="22"/>
    </row>
    <row r="60" ht="19.5" customHeight="1">
      <c r="A60" s="30">
        <v>41.0</v>
      </c>
      <c r="B60" s="26"/>
      <c r="C60" s="26"/>
      <c r="D60" s="26"/>
      <c r="E60" s="26"/>
      <c r="F60" s="25"/>
      <c r="G60" s="25"/>
      <c r="H60" s="26"/>
      <c r="I60" s="26"/>
    </row>
    <row r="61" ht="19.5" customHeight="1">
      <c r="A61" s="29">
        <v>42.0</v>
      </c>
      <c r="B61" s="22"/>
      <c r="C61" s="22"/>
      <c r="D61" s="22"/>
      <c r="E61" s="22"/>
      <c r="F61" s="21"/>
      <c r="G61" s="21"/>
      <c r="H61" s="22"/>
      <c r="I61" s="22"/>
    </row>
    <row r="62" ht="19.5" customHeight="1">
      <c r="A62" s="30">
        <v>43.0</v>
      </c>
      <c r="B62" s="26"/>
      <c r="C62" s="26"/>
      <c r="D62" s="26"/>
      <c r="E62" s="26"/>
      <c r="F62" s="25"/>
      <c r="G62" s="25"/>
      <c r="H62" s="26"/>
      <c r="I62" s="26"/>
    </row>
    <row r="63" ht="19.5" customHeight="1">
      <c r="A63" s="29">
        <v>44.0</v>
      </c>
      <c r="B63" s="22"/>
      <c r="C63" s="22"/>
      <c r="D63" s="22"/>
      <c r="E63" s="22"/>
      <c r="F63" s="21"/>
      <c r="G63" s="21"/>
      <c r="H63" s="22"/>
      <c r="I63" s="22"/>
    </row>
    <row r="64" ht="19.5" customHeight="1">
      <c r="A64" s="30">
        <v>45.0</v>
      </c>
      <c r="B64" s="26"/>
      <c r="C64" s="26"/>
      <c r="D64" s="26"/>
      <c r="E64" s="26"/>
      <c r="F64" s="25"/>
      <c r="G64" s="25"/>
      <c r="H64" s="26"/>
      <c r="I64" s="26"/>
    </row>
    <row r="65" ht="19.5" customHeight="1">
      <c r="A65" s="29">
        <v>46.0</v>
      </c>
      <c r="B65" s="22"/>
      <c r="C65" s="22"/>
      <c r="D65" s="22"/>
      <c r="E65" s="22"/>
      <c r="F65" s="21"/>
      <c r="G65" s="21"/>
      <c r="H65" s="22"/>
      <c r="I65" s="22"/>
    </row>
    <row r="66" ht="19.5" customHeight="1">
      <c r="A66" s="30">
        <v>47.0</v>
      </c>
      <c r="B66" s="26"/>
      <c r="C66" s="26"/>
      <c r="D66" s="26"/>
      <c r="E66" s="26"/>
      <c r="F66" s="25"/>
      <c r="G66" s="25"/>
      <c r="H66" s="26"/>
      <c r="I66" s="26"/>
    </row>
    <row r="67" ht="19.5" customHeight="1">
      <c r="A67" s="29">
        <v>48.0</v>
      </c>
      <c r="B67" s="22"/>
      <c r="C67" s="22"/>
      <c r="D67" s="22"/>
      <c r="E67" s="22"/>
      <c r="F67" s="21"/>
      <c r="G67" s="21"/>
      <c r="H67" s="22"/>
      <c r="I67" s="22"/>
    </row>
    <row r="68" ht="19.5" customHeight="1">
      <c r="A68" s="30">
        <v>49.0</v>
      </c>
      <c r="B68" s="26"/>
      <c r="C68" s="26"/>
      <c r="D68" s="26"/>
      <c r="E68" s="26"/>
      <c r="F68" s="25"/>
      <c r="G68" s="25"/>
      <c r="H68" s="26"/>
      <c r="I68" s="26"/>
    </row>
    <row r="69" ht="19.5" customHeight="1">
      <c r="A69" s="29">
        <v>50.0</v>
      </c>
      <c r="B69" s="22"/>
      <c r="C69" s="22"/>
      <c r="D69" s="22"/>
      <c r="E69" s="22"/>
      <c r="F69" s="21"/>
      <c r="G69" s="21"/>
      <c r="H69" s="22"/>
      <c r="I69" s="22"/>
    </row>
    <row r="70" ht="19.5" customHeight="1">
      <c r="A70" s="30">
        <v>51.0</v>
      </c>
      <c r="B70" s="26"/>
      <c r="C70" s="26"/>
      <c r="D70" s="26"/>
      <c r="E70" s="26"/>
      <c r="F70" s="25"/>
      <c r="G70" s="25"/>
      <c r="H70" s="26"/>
      <c r="I70" s="26"/>
    </row>
    <row r="71" ht="19.5" customHeight="1">
      <c r="A71" s="29">
        <v>52.0</v>
      </c>
      <c r="B71" s="22"/>
      <c r="C71" s="22"/>
      <c r="D71" s="22"/>
      <c r="E71" s="22"/>
      <c r="F71" s="21"/>
      <c r="G71" s="21"/>
      <c r="H71" s="22"/>
      <c r="I71" s="22"/>
    </row>
    <row r="72" ht="19.5" customHeight="1">
      <c r="A72" s="30">
        <v>53.0</v>
      </c>
      <c r="B72" s="26"/>
      <c r="C72" s="26"/>
      <c r="D72" s="26"/>
      <c r="E72" s="26"/>
      <c r="F72" s="25"/>
      <c r="G72" s="25"/>
      <c r="H72" s="26"/>
      <c r="I72" s="26"/>
    </row>
    <row r="73" ht="19.5" customHeight="1">
      <c r="A73" s="29">
        <v>54.0</v>
      </c>
      <c r="B73" s="22"/>
      <c r="C73" s="22"/>
      <c r="D73" s="22"/>
      <c r="E73" s="22"/>
      <c r="F73" s="21"/>
      <c r="G73" s="21"/>
      <c r="H73" s="22"/>
      <c r="I73" s="22"/>
    </row>
    <row r="74" ht="19.5" customHeight="1">
      <c r="A74" s="30">
        <v>55.0</v>
      </c>
      <c r="B74" s="26"/>
      <c r="C74" s="26"/>
      <c r="D74" s="26"/>
      <c r="E74" s="26"/>
      <c r="F74" s="25"/>
      <c r="G74" s="25"/>
      <c r="H74" s="26"/>
      <c r="I74" s="26"/>
    </row>
    <row r="75" ht="19.5" customHeight="1">
      <c r="A75" s="29">
        <v>56.0</v>
      </c>
      <c r="B75" s="22"/>
      <c r="C75" s="22"/>
      <c r="D75" s="22"/>
      <c r="E75" s="22"/>
      <c r="F75" s="21"/>
      <c r="G75" s="21"/>
      <c r="H75" s="22"/>
      <c r="I75" s="22"/>
    </row>
    <row r="76" ht="19.5" customHeight="1">
      <c r="A76" s="30">
        <v>57.0</v>
      </c>
      <c r="B76" s="26"/>
      <c r="C76" s="26"/>
      <c r="D76" s="26"/>
      <c r="E76" s="26"/>
      <c r="F76" s="25"/>
      <c r="G76" s="25"/>
      <c r="H76" s="26"/>
      <c r="I76" s="26"/>
    </row>
    <row r="77" ht="19.5" customHeight="1">
      <c r="A77" s="29">
        <v>58.0</v>
      </c>
      <c r="B77" s="22"/>
      <c r="C77" s="22"/>
      <c r="D77" s="22"/>
      <c r="E77" s="22"/>
      <c r="F77" s="21"/>
      <c r="G77" s="21"/>
      <c r="H77" s="22"/>
      <c r="I77" s="22"/>
    </row>
    <row r="78" ht="19.5" customHeight="1">
      <c r="A78" s="30">
        <v>59.0</v>
      </c>
      <c r="B78" s="26"/>
      <c r="C78" s="26"/>
      <c r="D78" s="26"/>
      <c r="E78" s="26"/>
      <c r="F78" s="25"/>
      <c r="G78" s="25"/>
      <c r="H78" s="26"/>
      <c r="I78" s="26"/>
    </row>
    <row r="79" ht="19.5" customHeight="1">
      <c r="A79" s="29">
        <v>60.0</v>
      </c>
      <c r="B79" s="22"/>
      <c r="C79" s="22"/>
      <c r="D79" s="22"/>
      <c r="E79" s="22"/>
      <c r="F79" s="21"/>
      <c r="G79" s="21"/>
      <c r="H79" s="22"/>
      <c r="I79" s="22"/>
    </row>
    <row r="80" ht="19.5" customHeight="1">
      <c r="A80" s="30">
        <v>61.0</v>
      </c>
      <c r="B80" s="26"/>
      <c r="C80" s="26"/>
      <c r="D80" s="26"/>
      <c r="E80" s="26"/>
      <c r="F80" s="25"/>
      <c r="G80" s="25"/>
      <c r="H80" s="26"/>
      <c r="I80" s="26"/>
    </row>
    <row r="81" ht="19.5" customHeight="1">
      <c r="A81" s="29">
        <v>62.0</v>
      </c>
      <c r="B81" s="22"/>
      <c r="C81" s="22"/>
      <c r="D81" s="22"/>
      <c r="E81" s="22"/>
      <c r="F81" s="21"/>
      <c r="G81" s="21"/>
      <c r="H81" s="22"/>
      <c r="I81" s="22"/>
    </row>
    <row r="82" ht="19.5" customHeight="1">
      <c r="A82" s="30">
        <v>63.0</v>
      </c>
      <c r="B82" s="26"/>
      <c r="C82" s="26"/>
      <c r="D82" s="26"/>
      <c r="E82" s="26"/>
      <c r="F82" s="25"/>
      <c r="G82" s="25"/>
      <c r="H82" s="26"/>
      <c r="I82" s="26"/>
    </row>
    <row r="83" ht="19.5" customHeight="1">
      <c r="A83" s="29">
        <v>64.0</v>
      </c>
      <c r="B83" s="22"/>
      <c r="C83" s="22"/>
      <c r="D83" s="22"/>
      <c r="E83" s="22"/>
      <c r="F83" s="21"/>
      <c r="G83" s="21"/>
      <c r="H83" s="22"/>
      <c r="I83" s="22"/>
    </row>
    <row r="84" ht="19.5" customHeight="1">
      <c r="A84" s="30">
        <v>65.0</v>
      </c>
      <c r="B84" s="26"/>
      <c r="C84" s="26"/>
      <c r="D84" s="26"/>
      <c r="E84" s="26"/>
      <c r="F84" s="25"/>
      <c r="G84" s="25"/>
      <c r="H84" s="26"/>
      <c r="I84" s="26"/>
    </row>
    <row r="85" ht="19.5" customHeight="1">
      <c r="A85" s="29">
        <v>66.0</v>
      </c>
      <c r="B85" s="22"/>
      <c r="C85" s="22"/>
      <c r="D85" s="22"/>
      <c r="E85" s="22"/>
      <c r="F85" s="21"/>
      <c r="G85" s="21"/>
      <c r="H85" s="22"/>
      <c r="I85" s="22"/>
    </row>
    <row r="86" ht="19.5" customHeight="1">
      <c r="A86" s="30">
        <v>67.0</v>
      </c>
      <c r="B86" s="26"/>
      <c r="C86" s="26"/>
      <c r="D86" s="26"/>
      <c r="E86" s="26"/>
      <c r="F86" s="25"/>
      <c r="G86" s="25"/>
      <c r="H86" s="26"/>
      <c r="I86" s="26"/>
    </row>
    <row r="87" ht="19.5" customHeight="1">
      <c r="A87" s="29">
        <v>68.0</v>
      </c>
      <c r="B87" s="22"/>
      <c r="C87" s="22"/>
      <c r="D87" s="22"/>
      <c r="E87" s="22"/>
      <c r="F87" s="21"/>
      <c r="G87" s="21"/>
      <c r="H87" s="22"/>
      <c r="I87" s="22"/>
    </row>
    <row r="88" ht="19.5" customHeight="1">
      <c r="A88" s="30">
        <v>69.0</v>
      </c>
      <c r="B88" s="26"/>
      <c r="C88" s="26"/>
      <c r="D88" s="26"/>
      <c r="E88" s="26"/>
      <c r="F88" s="25"/>
      <c r="G88" s="25"/>
      <c r="H88" s="26"/>
      <c r="I88" s="26"/>
    </row>
    <row r="89" ht="19.5" customHeight="1">
      <c r="A89" s="29">
        <v>70.0</v>
      </c>
      <c r="B89" s="22"/>
      <c r="C89" s="22"/>
      <c r="D89" s="22"/>
      <c r="E89" s="22"/>
      <c r="F89" s="21"/>
      <c r="G89" s="21"/>
      <c r="H89" s="22"/>
      <c r="I89" s="22"/>
    </row>
    <row r="90" ht="19.5" customHeight="1">
      <c r="A90" s="30">
        <v>71.0</v>
      </c>
      <c r="B90" s="26"/>
      <c r="C90" s="26"/>
      <c r="D90" s="26"/>
      <c r="E90" s="26"/>
      <c r="F90" s="25"/>
      <c r="G90" s="25"/>
      <c r="H90" s="26"/>
      <c r="I90" s="26"/>
    </row>
    <row r="91" ht="19.5" customHeight="1">
      <c r="A91" s="29">
        <v>72.0</v>
      </c>
      <c r="B91" s="22"/>
      <c r="C91" s="22"/>
      <c r="D91" s="22"/>
      <c r="E91" s="22"/>
      <c r="F91" s="21"/>
      <c r="G91" s="21"/>
      <c r="H91" s="22"/>
      <c r="I91" s="22"/>
    </row>
    <row r="92" ht="19.5" customHeight="1">
      <c r="A92" s="30">
        <v>73.0</v>
      </c>
      <c r="B92" s="26"/>
      <c r="C92" s="26"/>
      <c r="D92" s="26"/>
      <c r="E92" s="26"/>
      <c r="F92" s="25"/>
      <c r="G92" s="25"/>
      <c r="H92" s="26"/>
      <c r="I92" s="26"/>
    </row>
    <row r="93" ht="19.5" customHeight="1">
      <c r="A93" s="29">
        <v>74.0</v>
      </c>
      <c r="B93" s="22"/>
      <c r="C93" s="22"/>
      <c r="D93" s="22"/>
      <c r="E93" s="22"/>
      <c r="F93" s="21"/>
      <c r="G93" s="21"/>
      <c r="H93" s="22"/>
      <c r="I93" s="22"/>
    </row>
    <row r="94" ht="19.5" customHeight="1">
      <c r="A94" s="30">
        <v>75.0</v>
      </c>
      <c r="B94" s="26"/>
      <c r="C94" s="26"/>
      <c r="D94" s="26"/>
      <c r="E94" s="26"/>
      <c r="F94" s="25"/>
      <c r="G94" s="25"/>
      <c r="H94" s="26"/>
      <c r="I94" s="26"/>
    </row>
    <row r="95" ht="19.5" customHeight="1">
      <c r="A95" s="29">
        <v>76.0</v>
      </c>
      <c r="B95" s="22"/>
      <c r="C95" s="22"/>
      <c r="D95" s="22"/>
      <c r="E95" s="22"/>
      <c r="F95" s="21"/>
      <c r="G95" s="21"/>
      <c r="H95" s="22"/>
      <c r="I95" s="22"/>
    </row>
    <row r="96" ht="19.5" customHeight="1">
      <c r="A96" s="30">
        <v>77.0</v>
      </c>
      <c r="B96" s="26"/>
      <c r="C96" s="26"/>
      <c r="D96" s="26"/>
      <c r="E96" s="26"/>
      <c r="F96" s="25"/>
      <c r="G96" s="25"/>
      <c r="H96" s="26"/>
      <c r="I96" s="26"/>
    </row>
    <row r="97" ht="19.5" customHeight="1">
      <c r="A97" s="29">
        <v>78.0</v>
      </c>
      <c r="B97" s="22"/>
      <c r="C97" s="22"/>
      <c r="D97" s="22"/>
      <c r="E97" s="22"/>
      <c r="F97" s="21"/>
      <c r="G97" s="21"/>
      <c r="H97" s="22"/>
      <c r="I97" s="22"/>
    </row>
    <row r="98" ht="19.5" customHeight="1">
      <c r="A98" s="30">
        <v>79.0</v>
      </c>
      <c r="B98" s="26"/>
      <c r="C98" s="26"/>
      <c r="D98" s="26"/>
      <c r="E98" s="26"/>
      <c r="F98" s="25"/>
      <c r="G98" s="25"/>
      <c r="H98" s="26"/>
      <c r="I98" s="26"/>
    </row>
    <row r="99" ht="19.5" customHeight="1">
      <c r="A99" s="29">
        <v>80.0</v>
      </c>
      <c r="B99" s="22"/>
      <c r="C99" s="22"/>
      <c r="D99" s="22"/>
      <c r="E99" s="22"/>
      <c r="F99" s="21"/>
      <c r="G99" s="21"/>
      <c r="H99" s="22"/>
      <c r="I99" s="22"/>
    </row>
    <row r="100" ht="19.5" customHeight="1">
      <c r="A100" s="30">
        <v>81.0</v>
      </c>
      <c r="B100" s="26"/>
      <c r="C100" s="26"/>
      <c r="D100" s="26"/>
      <c r="E100" s="26"/>
      <c r="F100" s="25"/>
      <c r="G100" s="25"/>
      <c r="H100" s="26"/>
      <c r="I100" s="26"/>
    </row>
    <row r="101" ht="19.5" customHeight="1">
      <c r="A101" s="29">
        <v>82.0</v>
      </c>
      <c r="B101" s="22"/>
      <c r="C101" s="22"/>
      <c r="D101" s="22"/>
      <c r="E101" s="22"/>
      <c r="F101" s="21"/>
      <c r="G101" s="21"/>
      <c r="H101" s="22"/>
      <c r="I101" s="22"/>
    </row>
    <row r="102" ht="19.5" customHeight="1">
      <c r="A102" s="30">
        <v>83.0</v>
      </c>
      <c r="B102" s="26"/>
      <c r="C102" s="26"/>
      <c r="D102" s="26"/>
      <c r="E102" s="26"/>
      <c r="F102" s="25"/>
      <c r="G102" s="25"/>
      <c r="H102" s="26"/>
      <c r="I102" s="26"/>
    </row>
    <row r="103" ht="19.5" customHeight="1">
      <c r="A103" s="29">
        <v>84.0</v>
      </c>
      <c r="B103" s="22"/>
      <c r="C103" s="22"/>
      <c r="D103" s="22"/>
      <c r="E103" s="22"/>
      <c r="F103" s="21"/>
      <c r="G103" s="21"/>
      <c r="H103" s="22"/>
      <c r="I103" s="22"/>
    </row>
    <row r="104" ht="19.5" customHeight="1">
      <c r="A104" s="30">
        <v>85.0</v>
      </c>
      <c r="B104" s="26"/>
      <c r="C104" s="26"/>
      <c r="D104" s="26"/>
      <c r="E104" s="26"/>
      <c r="F104" s="25"/>
      <c r="G104" s="25"/>
      <c r="H104" s="26"/>
      <c r="I104" s="26"/>
    </row>
    <row r="105" ht="19.5" customHeight="1">
      <c r="A105" s="29">
        <v>86.0</v>
      </c>
      <c r="B105" s="22"/>
      <c r="C105" s="22"/>
      <c r="D105" s="22"/>
      <c r="E105" s="22"/>
      <c r="F105" s="21"/>
      <c r="G105" s="21"/>
      <c r="H105" s="22"/>
      <c r="I105" s="22"/>
    </row>
    <row r="106" ht="19.5" customHeight="1">
      <c r="A106" s="30">
        <v>87.0</v>
      </c>
      <c r="B106" s="26"/>
      <c r="C106" s="26"/>
      <c r="D106" s="26"/>
      <c r="E106" s="26"/>
      <c r="F106" s="25"/>
      <c r="G106" s="25"/>
      <c r="H106" s="26"/>
      <c r="I106" s="26"/>
    </row>
    <row r="107" ht="19.5" customHeight="1">
      <c r="A107" s="29">
        <v>88.0</v>
      </c>
      <c r="B107" s="22"/>
      <c r="C107" s="22"/>
      <c r="D107" s="22"/>
      <c r="E107" s="22"/>
      <c r="F107" s="21"/>
      <c r="G107" s="21"/>
      <c r="H107" s="22"/>
      <c r="I107" s="22"/>
    </row>
    <row r="108" ht="19.5" customHeight="1">
      <c r="A108" s="30">
        <v>89.0</v>
      </c>
      <c r="B108" s="26"/>
      <c r="C108" s="26"/>
      <c r="D108" s="26"/>
      <c r="E108" s="26"/>
      <c r="F108" s="25"/>
      <c r="G108" s="25"/>
      <c r="H108" s="26"/>
      <c r="I108" s="26"/>
    </row>
    <row r="109" ht="19.5" customHeight="1">
      <c r="A109" s="29">
        <v>90.0</v>
      </c>
      <c r="B109" s="22"/>
      <c r="C109" s="22"/>
      <c r="D109" s="22"/>
      <c r="E109" s="22"/>
      <c r="F109" s="21"/>
      <c r="G109" s="21"/>
      <c r="H109" s="22"/>
      <c r="I109" s="22"/>
    </row>
    <row r="110" ht="19.5" customHeight="1">
      <c r="A110" s="30">
        <v>91.0</v>
      </c>
      <c r="B110" s="26"/>
      <c r="C110" s="26"/>
      <c r="D110" s="26"/>
      <c r="E110" s="26"/>
      <c r="F110" s="25"/>
      <c r="G110" s="25"/>
      <c r="H110" s="26"/>
      <c r="I110" s="26"/>
    </row>
    <row r="111" ht="19.5" customHeight="1">
      <c r="A111" s="29">
        <v>92.0</v>
      </c>
      <c r="B111" s="22"/>
      <c r="C111" s="22"/>
      <c r="D111" s="22"/>
      <c r="E111" s="22"/>
      <c r="F111" s="21"/>
      <c r="G111" s="21"/>
      <c r="H111" s="22"/>
      <c r="I111" s="22"/>
    </row>
    <row r="112" ht="19.5" customHeight="1">
      <c r="A112" s="30">
        <v>93.0</v>
      </c>
      <c r="B112" s="26"/>
      <c r="C112" s="26"/>
      <c r="D112" s="26"/>
      <c r="E112" s="26"/>
      <c r="F112" s="25"/>
      <c r="G112" s="25"/>
      <c r="H112" s="26"/>
      <c r="I112" s="26"/>
    </row>
    <row r="113" ht="19.5" customHeight="1">
      <c r="A113" s="29">
        <v>94.0</v>
      </c>
      <c r="B113" s="22"/>
      <c r="C113" s="22"/>
      <c r="D113" s="22"/>
      <c r="E113" s="22"/>
      <c r="F113" s="21"/>
      <c r="G113" s="21"/>
      <c r="H113" s="22"/>
      <c r="I113" s="22"/>
    </row>
    <row r="114" ht="19.5" customHeight="1">
      <c r="A114" s="30">
        <v>95.0</v>
      </c>
      <c r="B114" s="26"/>
      <c r="C114" s="26"/>
      <c r="D114" s="26"/>
      <c r="E114" s="26"/>
      <c r="F114" s="25"/>
      <c r="G114" s="25"/>
      <c r="H114" s="26"/>
      <c r="I114" s="26"/>
    </row>
    <row r="115" ht="19.5" customHeight="1">
      <c r="A115" s="29">
        <v>96.0</v>
      </c>
      <c r="B115" s="22"/>
      <c r="C115" s="22"/>
      <c r="D115" s="22"/>
      <c r="E115" s="22"/>
      <c r="F115" s="21"/>
      <c r="G115" s="21"/>
      <c r="H115" s="22"/>
      <c r="I115" s="22"/>
    </row>
    <row r="116" ht="19.5" customHeight="1">
      <c r="A116" s="30">
        <v>97.0</v>
      </c>
      <c r="B116" s="26"/>
      <c r="C116" s="26"/>
      <c r="D116" s="26"/>
      <c r="E116" s="26"/>
      <c r="F116" s="25"/>
      <c r="G116" s="25"/>
      <c r="H116" s="26"/>
      <c r="I116" s="26"/>
    </row>
    <row r="117" ht="19.5" customHeight="1">
      <c r="A117" s="29">
        <v>98.0</v>
      </c>
      <c r="B117" s="22"/>
      <c r="C117" s="22"/>
      <c r="D117" s="22"/>
      <c r="E117" s="22"/>
      <c r="F117" s="21"/>
      <c r="G117" s="21"/>
      <c r="H117" s="22"/>
      <c r="I117" s="22"/>
    </row>
    <row r="118" ht="19.5" customHeight="1">
      <c r="A118" s="30">
        <v>99.0</v>
      </c>
      <c r="B118" s="26"/>
      <c r="C118" s="26"/>
      <c r="D118" s="26"/>
      <c r="E118" s="26"/>
      <c r="F118" s="25"/>
      <c r="G118" s="25"/>
      <c r="H118" s="26"/>
      <c r="I118" s="26"/>
    </row>
    <row r="119" ht="19.5" customHeight="1">
      <c r="A119" s="29">
        <v>100.0</v>
      </c>
      <c r="B119" s="22"/>
      <c r="C119" s="22"/>
      <c r="D119" s="22"/>
      <c r="E119" s="22"/>
      <c r="F119" s="21"/>
      <c r="G119" s="21"/>
      <c r="H119" s="22"/>
      <c r="I119" s="2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7:C7"/>
    <mergeCell ref="A8:C8"/>
    <mergeCell ref="A9:C9"/>
    <mergeCell ref="A10:C10"/>
    <mergeCell ref="A11:C11"/>
    <mergeCell ref="A12:C12"/>
    <mergeCell ref="D8:I8"/>
    <mergeCell ref="D9:I9"/>
    <mergeCell ref="D10:I10"/>
    <mergeCell ref="D11:I11"/>
    <mergeCell ref="D12:I12"/>
    <mergeCell ref="A13:I13"/>
    <mergeCell ref="A2:I2"/>
    <mergeCell ref="A3:I3"/>
    <mergeCell ref="A4:I4"/>
    <mergeCell ref="A5:I5"/>
    <mergeCell ref="A6:C6"/>
    <mergeCell ref="D6:I6"/>
    <mergeCell ref="D7:I7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C997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20.0"/>
    <col customWidth="1" min="4" max="4" width="18.0"/>
    <col customWidth="1" min="5" max="5" width="14.0"/>
    <col customWidth="1" min="6" max="6" width="20.0"/>
    <col customWidth="1" min="7" max="7" width="26.0"/>
    <col customWidth="1" min="8" max="8" width="20.0"/>
    <col customWidth="1" min="9" max="26" width="8.71"/>
  </cols>
  <sheetData>
    <row r="1" ht="6.0" customHeight="1"/>
    <row r="2" ht="39.75" customHeight="1">
      <c r="A2" s="1" t="s">
        <v>438</v>
      </c>
      <c r="B2" s="2"/>
      <c r="C2" s="2"/>
      <c r="D2" s="2"/>
      <c r="E2" s="2"/>
      <c r="F2" s="2"/>
      <c r="G2" s="2"/>
      <c r="H2" s="3"/>
    </row>
    <row r="3" ht="19.5" customHeight="1">
      <c r="A3" s="4" t="s">
        <v>439</v>
      </c>
      <c r="B3" s="2"/>
      <c r="C3" s="2"/>
      <c r="D3" s="2"/>
      <c r="E3" s="2"/>
      <c r="F3" s="2"/>
      <c r="G3" s="2"/>
      <c r="H3" s="3"/>
    </row>
    <row r="4" ht="19.5" customHeight="1">
      <c r="A4" s="5" t="s">
        <v>440</v>
      </c>
      <c r="B4" s="2"/>
      <c r="C4" s="2"/>
      <c r="D4" s="2"/>
      <c r="E4" s="2"/>
      <c r="F4" s="2"/>
      <c r="G4" s="2"/>
      <c r="H4" s="3"/>
    </row>
    <row r="5" ht="18.0" customHeight="1">
      <c r="A5" s="7" t="s">
        <v>441</v>
      </c>
      <c r="B5" s="8"/>
      <c r="C5" s="8"/>
      <c r="D5" s="8"/>
      <c r="E5" s="8"/>
      <c r="F5" s="8"/>
      <c r="G5" s="8"/>
      <c r="H5" s="9"/>
    </row>
    <row r="6" ht="36.0" customHeight="1">
      <c r="A6" s="17" t="s">
        <v>3</v>
      </c>
      <c r="B6" s="17" t="s">
        <v>442</v>
      </c>
      <c r="C6" s="17" t="s">
        <v>443</v>
      </c>
      <c r="D6" s="17" t="s">
        <v>444</v>
      </c>
      <c r="E6" s="17" t="s">
        <v>445</v>
      </c>
      <c r="F6" s="17" t="s">
        <v>446</v>
      </c>
      <c r="G6" s="17" t="s">
        <v>447</v>
      </c>
      <c r="H6" s="17" t="s">
        <v>448</v>
      </c>
    </row>
    <row r="7" ht="21.75" customHeight="1">
      <c r="A7" s="21">
        <v>1.0</v>
      </c>
      <c r="B7" s="22" t="s">
        <v>449</v>
      </c>
      <c r="C7" s="22" t="s">
        <v>450</v>
      </c>
      <c r="D7" s="22"/>
      <c r="E7" s="21" t="s">
        <v>451</v>
      </c>
      <c r="F7" s="22" t="s">
        <v>452</v>
      </c>
      <c r="G7" s="22"/>
      <c r="H7" s="22" t="s">
        <v>453</v>
      </c>
    </row>
    <row r="8" ht="21.75" customHeight="1">
      <c r="A8" s="25">
        <v>2.0</v>
      </c>
      <c r="B8" s="26" t="s">
        <v>101</v>
      </c>
      <c r="C8" s="26" t="s">
        <v>454</v>
      </c>
      <c r="D8" s="26" t="s">
        <v>449</v>
      </c>
      <c r="E8" s="25" t="s">
        <v>455</v>
      </c>
      <c r="F8" s="26" t="s">
        <v>456</v>
      </c>
      <c r="G8" s="26" t="s">
        <v>457</v>
      </c>
      <c r="H8" s="26" t="s">
        <v>458</v>
      </c>
    </row>
    <row r="9" ht="21.75" customHeight="1">
      <c r="A9" s="21">
        <v>3.0</v>
      </c>
      <c r="B9" s="22" t="s">
        <v>459</v>
      </c>
      <c r="C9" s="22" t="s">
        <v>450</v>
      </c>
      <c r="D9" s="22" t="s">
        <v>449</v>
      </c>
      <c r="E9" s="21" t="s">
        <v>455</v>
      </c>
      <c r="F9" s="22" t="s">
        <v>460</v>
      </c>
      <c r="G9" s="22" t="s">
        <v>461</v>
      </c>
      <c r="H9" s="22" t="s">
        <v>462</v>
      </c>
    </row>
    <row r="10" ht="21.75" customHeight="1">
      <c r="A10" s="25">
        <v>4.0</v>
      </c>
      <c r="B10" s="26" t="s">
        <v>463</v>
      </c>
      <c r="C10" s="26" t="s">
        <v>450</v>
      </c>
      <c r="D10" s="26" t="s">
        <v>449</v>
      </c>
      <c r="E10" s="25" t="s">
        <v>455</v>
      </c>
      <c r="F10" s="26" t="s">
        <v>452</v>
      </c>
      <c r="G10" s="26"/>
      <c r="H10" s="26" t="s">
        <v>464</v>
      </c>
    </row>
    <row r="11" ht="21.75" customHeight="1">
      <c r="A11" s="21">
        <v>5.0</v>
      </c>
      <c r="B11" s="22" t="s">
        <v>465</v>
      </c>
      <c r="C11" s="22" t="s">
        <v>450</v>
      </c>
      <c r="D11" s="22" t="s">
        <v>449</v>
      </c>
      <c r="E11" s="21" t="s">
        <v>455</v>
      </c>
      <c r="F11" s="22" t="s">
        <v>456</v>
      </c>
      <c r="G11" s="22"/>
      <c r="H11" s="22" t="s">
        <v>466</v>
      </c>
    </row>
    <row r="12" ht="18.0" customHeight="1">
      <c r="A12" s="7" t="s">
        <v>467</v>
      </c>
      <c r="B12" s="8"/>
      <c r="C12" s="8"/>
      <c r="D12" s="8"/>
      <c r="E12" s="8"/>
      <c r="F12" s="8"/>
      <c r="G12" s="8"/>
      <c r="H12" s="9"/>
    </row>
    <row r="13" ht="36.0" customHeight="1">
      <c r="A13" s="17" t="s">
        <v>3</v>
      </c>
      <c r="B13" s="17" t="s">
        <v>468</v>
      </c>
      <c r="C13" s="17" t="s">
        <v>469</v>
      </c>
      <c r="D13" s="17" t="s">
        <v>470</v>
      </c>
      <c r="E13" s="17" t="s">
        <v>471</v>
      </c>
      <c r="F13" s="17" t="s">
        <v>472</v>
      </c>
      <c r="G13" s="17" t="s">
        <v>473</v>
      </c>
      <c r="H13" s="17" t="s">
        <v>474</v>
      </c>
    </row>
    <row r="14" ht="19.5" customHeight="1">
      <c r="A14" s="25">
        <v>1.0</v>
      </c>
      <c r="B14" s="26" t="s">
        <v>475</v>
      </c>
      <c r="C14" s="26" t="s">
        <v>101</v>
      </c>
      <c r="D14" s="26" t="s">
        <v>476</v>
      </c>
      <c r="E14" s="26" t="s">
        <v>477</v>
      </c>
      <c r="F14" s="25" t="s">
        <v>478</v>
      </c>
      <c r="G14" s="25" t="s">
        <v>479</v>
      </c>
      <c r="H14" s="26" t="s">
        <v>204</v>
      </c>
    </row>
    <row r="15" ht="19.5" customHeight="1">
      <c r="A15" s="21">
        <v>2.0</v>
      </c>
      <c r="B15" s="22" t="s">
        <v>480</v>
      </c>
      <c r="C15" s="22" t="s">
        <v>101</v>
      </c>
      <c r="D15" s="22" t="s">
        <v>476</v>
      </c>
      <c r="E15" s="22" t="s">
        <v>481</v>
      </c>
      <c r="F15" s="21" t="s">
        <v>478</v>
      </c>
      <c r="G15" s="21" t="s">
        <v>479</v>
      </c>
      <c r="H15" s="22" t="s">
        <v>204</v>
      </c>
    </row>
    <row r="16" ht="19.5" customHeight="1">
      <c r="A16" s="25">
        <v>3.0</v>
      </c>
      <c r="B16" s="26" t="s">
        <v>482</v>
      </c>
      <c r="C16" s="26" t="s">
        <v>101</v>
      </c>
      <c r="D16" s="26" t="s">
        <v>483</v>
      </c>
      <c r="E16" s="26" t="s">
        <v>477</v>
      </c>
      <c r="F16" s="25" t="s">
        <v>484</v>
      </c>
      <c r="G16" s="25" t="s">
        <v>485</v>
      </c>
      <c r="H16" s="26" t="s">
        <v>217</v>
      </c>
    </row>
    <row r="17" ht="19.5" customHeight="1">
      <c r="A17" s="21">
        <v>4.0</v>
      </c>
      <c r="B17" s="22" t="s">
        <v>486</v>
      </c>
      <c r="C17" s="22" t="s">
        <v>101</v>
      </c>
      <c r="D17" s="22" t="s">
        <v>487</v>
      </c>
      <c r="E17" s="22" t="s">
        <v>477</v>
      </c>
      <c r="F17" s="21" t="s">
        <v>488</v>
      </c>
      <c r="G17" s="21" t="s">
        <v>235</v>
      </c>
      <c r="H17" s="22" t="s">
        <v>224</v>
      </c>
    </row>
    <row r="18" ht="19.5" customHeight="1">
      <c r="A18" s="25">
        <v>5.0</v>
      </c>
      <c r="B18" s="26" t="s">
        <v>489</v>
      </c>
      <c r="C18" s="26" t="s">
        <v>459</v>
      </c>
      <c r="D18" s="26" t="s">
        <v>490</v>
      </c>
      <c r="E18" s="26" t="s">
        <v>477</v>
      </c>
      <c r="F18" s="25" t="s">
        <v>491</v>
      </c>
      <c r="G18" s="25" t="s">
        <v>492</v>
      </c>
      <c r="H18" s="26" t="s">
        <v>493</v>
      </c>
    </row>
    <row r="19" ht="19.5" customHeight="1">
      <c r="A19" s="46">
        <v>1.0</v>
      </c>
      <c r="B19" s="22"/>
      <c r="C19" s="22"/>
      <c r="D19" s="22"/>
      <c r="E19" s="22"/>
      <c r="F19" s="22"/>
      <c r="G19" s="22"/>
      <c r="H19" s="22"/>
    </row>
    <row r="20" ht="19.5" customHeight="1">
      <c r="A20" s="47">
        <v>2.0</v>
      </c>
      <c r="B20" s="26"/>
      <c r="C20" s="26"/>
      <c r="D20" s="26"/>
      <c r="E20" s="26"/>
      <c r="F20" s="26"/>
      <c r="G20" s="26"/>
      <c r="H20" s="26"/>
    </row>
    <row r="21" ht="19.5" customHeight="1">
      <c r="A21" s="46">
        <v>3.0</v>
      </c>
      <c r="B21" s="22"/>
      <c r="C21" s="22"/>
      <c r="D21" s="22"/>
      <c r="E21" s="22"/>
      <c r="F21" s="22"/>
      <c r="G21" s="22"/>
      <c r="H21" s="22"/>
    </row>
    <row r="22" ht="19.5" customHeight="1">
      <c r="A22" s="47">
        <v>4.0</v>
      </c>
      <c r="B22" s="26"/>
      <c r="C22" s="26"/>
      <c r="D22" s="26"/>
      <c r="E22" s="26"/>
      <c r="F22" s="26"/>
      <c r="G22" s="26"/>
      <c r="H22" s="26"/>
    </row>
    <row r="23" ht="19.5" customHeight="1">
      <c r="A23" s="46">
        <v>5.0</v>
      </c>
      <c r="B23" s="22"/>
      <c r="C23" s="22"/>
      <c r="D23" s="22"/>
      <c r="E23" s="22"/>
      <c r="F23" s="22"/>
      <c r="G23" s="22"/>
      <c r="H23" s="22"/>
    </row>
    <row r="24" ht="19.5" customHeight="1">
      <c r="A24" s="47">
        <v>6.0</v>
      </c>
      <c r="B24" s="26"/>
      <c r="C24" s="26"/>
      <c r="D24" s="26"/>
      <c r="E24" s="26"/>
      <c r="F24" s="26"/>
      <c r="G24" s="26"/>
      <c r="H24" s="26"/>
    </row>
    <row r="25" ht="19.5" customHeight="1">
      <c r="A25" s="46">
        <v>7.0</v>
      </c>
      <c r="B25" s="22"/>
      <c r="C25" s="22"/>
      <c r="D25" s="22"/>
      <c r="E25" s="22"/>
      <c r="F25" s="22"/>
      <c r="G25" s="22"/>
      <c r="H25" s="22"/>
    </row>
    <row r="26" ht="19.5" customHeight="1">
      <c r="A26" s="47">
        <v>8.0</v>
      </c>
      <c r="B26" s="26"/>
      <c r="C26" s="26"/>
      <c r="D26" s="26"/>
      <c r="E26" s="26"/>
      <c r="F26" s="26"/>
      <c r="G26" s="26"/>
      <c r="H26" s="26"/>
    </row>
    <row r="27" ht="19.5" customHeight="1">
      <c r="A27" s="46">
        <v>9.0</v>
      </c>
      <c r="B27" s="22"/>
      <c r="C27" s="22"/>
      <c r="D27" s="22"/>
      <c r="E27" s="22"/>
      <c r="F27" s="22"/>
      <c r="G27" s="22"/>
      <c r="H27" s="22"/>
    </row>
    <row r="28" ht="19.5" customHeight="1">
      <c r="A28" s="47">
        <v>10.0</v>
      </c>
      <c r="B28" s="26"/>
      <c r="C28" s="26"/>
      <c r="D28" s="26"/>
      <c r="E28" s="26"/>
      <c r="F28" s="26"/>
      <c r="G28" s="26"/>
      <c r="H28" s="26"/>
    </row>
    <row r="29" ht="19.5" customHeight="1">
      <c r="A29" s="46">
        <v>11.0</v>
      </c>
      <c r="B29" s="22"/>
      <c r="C29" s="22"/>
      <c r="D29" s="22"/>
      <c r="E29" s="22"/>
      <c r="F29" s="22"/>
      <c r="G29" s="22"/>
      <c r="H29" s="22"/>
    </row>
    <row r="30" ht="19.5" customHeight="1">
      <c r="A30" s="47">
        <v>12.0</v>
      </c>
      <c r="B30" s="26"/>
      <c r="C30" s="26"/>
      <c r="D30" s="26"/>
      <c r="E30" s="26"/>
      <c r="F30" s="26"/>
      <c r="G30" s="26"/>
      <c r="H30" s="26"/>
    </row>
    <row r="31" ht="19.5" customHeight="1">
      <c r="A31" s="46">
        <v>13.0</v>
      </c>
      <c r="B31" s="22"/>
      <c r="C31" s="22"/>
      <c r="D31" s="22"/>
      <c r="E31" s="22"/>
      <c r="F31" s="22"/>
      <c r="G31" s="22"/>
      <c r="H31" s="22"/>
    </row>
    <row r="32" ht="19.5" customHeight="1">
      <c r="A32" s="47">
        <v>14.0</v>
      </c>
      <c r="B32" s="26"/>
      <c r="C32" s="26"/>
      <c r="D32" s="26"/>
      <c r="E32" s="26"/>
      <c r="F32" s="26"/>
      <c r="G32" s="26"/>
      <c r="H32" s="26"/>
    </row>
    <row r="33" ht="19.5" customHeight="1">
      <c r="A33" s="46">
        <v>15.0</v>
      </c>
      <c r="B33" s="22"/>
      <c r="C33" s="22"/>
      <c r="D33" s="22"/>
      <c r="E33" s="22"/>
      <c r="F33" s="22"/>
      <c r="G33" s="22"/>
      <c r="H33" s="22"/>
    </row>
    <row r="34" ht="19.5" customHeight="1">
      <c r="A34" s="47">
        <v>16.0</v>
      </c>
      <c r="B34" s="26"/>
      <c r="C34" s="26"/>
      <c r="D34" s="26"/>
      <c r="E34" s="26"/>
      <c r="F34" s="26"/>
      <c r="G34" s="26"/>
      <c r="H34" s="26"/>
    </row>
    <row r="35" ht="19.5" customHeight="1">
      <c r="A35" s="46">
        <v>17.0</v>
      </c>
      <c r="B35" s="22"/>
      <c r="C35" s="22"/>
      <c r="D35" s="22"/>
      <c r="E35" s="22"/>
      <c r="F35" s="22"/>
      <c r="G35" s="22"/>
      <c r="H35" s="22"/>
    </row>
    <row r="36" ht="19.5" customHeight="1">
      <c r="A36" s="47">
        <v>18.0</v>
      </c>
      <c r="B36" s="26"/>
      <c r="C36" s="26"/>
      <c r="D36" s="26"/>
      <c r="E36" s="26"/>
      <c r="F36" s="26"/>
      <c r="G36" s="26"/>
      <c r="H36" s="26"/>
    </row>
    <row r="37" ht="19.5" customHeight="1">
      <c r="A37" s="46">
        <v>19.0</v>
      </c>
      <c r="B37" s="22"/>
      <c r="C37" s="22"/>
      <c r="D37" s="22"/>
      <c r="E37" s="22"/>
      <c r="F37" s="22"/>
      <c r="G37" s="22"/>
      <c r="H37" s="22"/>
    </row>
    <row r="38" ht="19.5" customHeight="1">
      <c r="A38" s="47">
        <v>20.0</v>
      </c>
      <c r="B38" s="26"/>
      <c r="C38" s="26"/>
      <c r="D38" s="26"/>
      <c r="E38" s="26"/>
      <c r="F38" s="26"/>
      <c r="G38" s="26"/>
      <c r="H38" s="26"/>
    </row>
    <row r="39" ht="19.5" customHeight="1">
      <c r="A39" s="46">
        <v>21.0</v>
      </c>
      <c r="B39" s="22"/>
      <c r="C39" s="22"/>
      <c r="D39" s="22"/>
      <c r="E39" s="22"/>
      <c r="F39" s="22"/>
      <c r="G39" s="22"/>
      <c r="H39" s="22"/>
    </row>
    <row r="40" ht="19.5" customHeight="1">
      <c r="A40" s="47">
        <v>22.0</v>
      </c>
      <c r="B40" s="26"/>
      <c r="C40" s="26"/>
      <c r="D40" s="26"/>
      <c r="E40" s="26"/>
      <c r="F40" s="26"/>
      <c r="G40" s="26"/>
      <c r="H40" s="26"/>
    </row>
    <row r="41" ht="19.5" customHeight="1">
      <c r="A41" s="46">
        <v>23.0</v>
      </c>
      <c r="B41" s="22"/>
      <c r="C41" s="22"/>
      <c r="D41" s="22"/>
      <c r="E41" s="22"/>
      <c r="F41" s="22"/>
      <c r="G41" s="22"/>
      <c r="H41" s="22"/>
    </row>
    <row r="42" ht="19.5" customHeight="1">
      <c r="A42" s="47">
        <v>24.0</v>
      </c>
      <c r="B42" s="26"/>
      <c r="C42" s="26"/>
      <c r="D42" s="26"/>
      <c r="E42" s="26"/>
      <c r="F42" s="26"/>
      <c r="G42" s="26"/>
      <c r="H42" s="26"/>
    </row>
    <row r="43" ht="19.5" customHeight="1">
      <c r="A43" s="46">
        <v>25.0</v>
      </c>
      <c r="B43" s="22"/>
      <c r="C43" s="22"/>
      <c r="D43" s="22"/>
      <c r="E43" s="22"/>
      <c r="F43" s="22"/>
      <c r="G43" s="22"/>
      <c r="H43" s="2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H2"/>
    <mergeCell ref="A3:H3"/>
    <mergeCell ref="A4:H4"/>
    <mergeCell ref="A5:H5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3545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20.0"/>
    <col customWidth="1" min="4" max="4" width="18.0"/>
    <col customWidth="1" min="5" max="6" width="16.0"/>
    <col customWidth="1" min="7" max="9" width="14.0"/>
    <col customWidth="1" min="10" max="10" width="22.0"/>
    <col customWidth="1" min="11" max="26" width="8.71"/>
  </cols>
  <sheetData>
    <row r="1" ht="6.0" customHeight="1"/>
    <row r="2" ht="39.75" customHeight="1">
      <c r="A2" s="1" t="s">
        <v>494</v>
      </c>
      <c r="B2" s="2"/>
      <c r="C2" s="2"/>
      <c r="D2" s="2"/>
      <c r="E2" s="2"/>
      <c r="F2" s="2"/>
      <c r="G2" s="2"/>
      <c r="H2" s="2"/>
      <c r="I2" s="2"/>
      <c r="J2" s="3"/>
    </row>
    <row r="3" ht="19.5" customHeight="1">
      <c r="A3" s="4" t="s">
        <v>495</v>
      </c>
      <c r="B3" s="2"/>
      <c r="C3" s="2"/>
      <c r="D3" s="2"/>
      <c r="E3" s="2"/>
      <c r="F3" s="2"/>
      <c r="G3" s="2"/>
      <c r="H3" s="2"/>
      <c r="I3" s="2"/>
      <c r="J3" s="3"/>
    </row>
    <row r="4" ht="19.5" customHeight="1">
      <c r="A4" s="5" t="s">
        <v>496</v>
      </c>
      <c r="B4" s="2"/>
      <c r="C4" s="2"/>
      <c r="D4" s="2"/>
      <c r="E4" s="2"/>
      <c r="F4" s="2"/>
      <c r="G4" s="2"/>
      <c r="H4" s="2"/>
      <c r="I4" s="2"/>
      <c r="J4" s="3"/>
    </row>
    <row r="5" ht="18.0" customHeight="1">
      <c r="A5" s="7" t="s">
        <v>497</v>
      </c>
      <c r="B5" s="8"/>
      <c r="C5" s="8"/>
      <c r="D5" s="8"/>
      <c r="E5" s="8"/>
      <c r="F5" s="8"/>
      <c r="G5" s="8"/>
      <c r="H5" s="8"/>
      <c r="I5" s="8"/>
      <c r="J5" s="9"/>
    </row>
    <row r="6" ht="36.0" customHeight="1">
      <c r="A6" s="17" t="s">
        <v>3</v>
      </c>
      <c r="B6" s="17" t="s">
        <v>498</v>
      </c>
      <c r="C6" s="17" t="s">
        <v>499</v>
      </c>
      <c r="D6" s="17" t="s">
        <v>500</v>
      </c>
      <c r="E6" s="17" t="s">
        <v>501</v>
      </c>
      <c r="F6" s="17" t="s">
        <v>502</v>
      </c>
      <c r="G6" s="17" t="s">
        <v>503</v>
      </c>
      <c r="H6" s="17" t="s">
        <v>504</v>
      </c>
      <c r="I6" s="17" t="s">
        <v>505</v>
      </c>
      <c r="J6" s="17" t="s">
        <v>418</v>
      </c>
    </row>
    <row r="7" ht="19.5" customHeight="1">
      <c r="A7" s="21">
        <v>1.0</v>
      </c>
      <c r="B7" s="22" t="s">
        <v>506</v>
      </c>
      <c r="C7" s="22" t="s">
        <v>507</v>
      </c>
      <c r="D7" s="22" t="s">
        <v>508</v>
      </c>
      <c r="E7" s="22" t="s">
        <v>509</v>
      </c>
      <c r="F7" s="21">
        <v>12.0</v>
      </c>
      <c r="G7" s="21">
        <v>999.0</v>
      </c>
      <c r="H7" s="48">
        <v>10.0</v>
      </c>
      <c r="I7" s="21" t="s">
        <v>477</v>
      </c>
      <c r="J7" s="22" t="s">
        <v>510</v>
      </c>
    </row>
    <row r="8" ht="19.5" customHeight="1">
      <c r="A8" s="25">
        <v>2.0</v>
      </c>
      <c r="B8" s="26" t="s">
        <v>511</v>
      </c>
      <c r="C8" s="26" t="s">
        <v>512</v>
      </c>
      <c r="D8" s="26" t="s">
        <v>513</v>
      </c>
      <c r="E8" s="26" t="s">
        <v>233</v>
      </c>
      <c r="F8" s="25">
        <v>6.0</v>
      </c>
      <c r="G8" s="25">
        <v>999.0</v>
      </c>
      <c r="H8" s="49">
        <v>15.0</v>
      </c>
      <c r="I8" s="25" t="s">
        <v>481</v>
      </c>
      <c r="J8" s="26" t="s">
        <v>514</v>
      </c>
    </row>
    <row r="9" ht="19.5" customHeight="1">
      <c r="A9" s="21">
        <v>3.0</v>
      </c>
      <c r="B9" s="22" t="s">
        <v>515</v>
      </c>
      <c r="C9" s="22" t="s">
        <v>516</v>
      </c>
      <c r="D9" s="22" t="s">
        <v>517</v>
      </c>
      <c r="E9" s="22" t="s">
        <v>214</v>
      </c>
      <c r="F9" s="21">
        <v>1.0</v>
      </c>
      <c r="G9" s="21">
        <v>999.0</v>
      </c>
      <c r="H9" s="48">
        <v>20.0</v>
      </c>
      <c r="I9" s="21" t="s">
        <v>518</v>
      </c>
      <c r="J9" s="22" t="s">
        <v>519</v>
      </c>
    </row>
    <row r="10" ht="19.5" customHeight="1">
      <c r="A10" s="25">
        <v>4.0</v>
      </c>
      <c r="B10" s="26" t="s">
        <v>520</v>
      </c>
      <c r="C10" s="26" t="s">
        <v>512</v>
      </c>
      <c r="D10" s="26" t="s">
        <v>521</v>
      </c>
      <c r="E10" s="26" t="s">
        <v>509</v>
      </c>
      <c r="F10" s="25">
        <v>1.0</v>
      </c>
      <c r="G10" s="25">
        <v>999.0</v>
      </c>
      <c r="H10" s="49">
        <v>5.0</v>
      </c>
      <c r="I10" s="25" t="s">
        <v>522</v>
      </c>
      <c r="J10" s="26" t="s">
        <v>523</v>
      </c>
    </row>
    <row r="12" ht="18.0" customHeight="1">
      <c r="A12" s="7" t="s">
        <v>524</v>
      </c>
      <c r="B12" s="8"/>
      <c r="C12" s="8"/>
      <c r="D12" s="8"/>
      <c r="E12" s="8"/>
      <c r="F12" s="8"/>
      <c r="G12" s="8"/>
      <c r="H12" s="8"/>
      <c r="I12" s="8"/>
      <c r="J12" s="9"/>
    </row>
    <row r="13" ht="36.0" customHeight="1">
      <c r="A13" s="17" t="s">
        <v>3</v>
      </c>
      <c r="B13" s="17" t="s">
        <v>525</v>
      </c>
      <c r="C13" s="17" t="s">
        <v>526</v>
      </c>
      <c r="D13" s="17" t="s">
        <v>527</v>
      </c>
      <c r="E13" s="17" t="s">
        <v>528</v>
      </c>
      <c r="F13" s="17" t="s">
        <v>529</v>
      </c>
      <c r="G13" s="17" t="s">
        <v>530</v>
      </c>
      <c r="H13" s="17" t="s">
        <v>531</v>
      </c>
      <c r="I13" s="17" t="s">
        <v>532</v>
      </c>
      <c r="J13" s="17" t="s">
        <v>418</v>
      </c>
    </row>
    <row r="14" ht="19.5" customHeight="1">
      <c r="A14" s="25">
        <v>1.0</v>
      </c>
      <c r="B14" s="26" t="s">
        <v>533</v>
      </c>
      <c r="C14" s="26" t="s">
        <v>200</v>
      </c>
      <c r="D14" s="25">
        <v>3.0</v>
      </c>
      <c r="E14" s="26" t="s">
        <v>200</v>
      </c>
      <c r="F14" s="25">
        <v>1.0</v>
      </c>
      <c r="G14" s="26" t="s">
        <v>378</v>
      </c>
      <c r="H14" s="26" t="s">
        <v>380</v>
      </c>
      <c r="I14" s="26" t="s">
        <v>508</v>
      </c>
      <c r="J14" s="26" t="s">
        <v>534</v>
      </c>
    </row>
    <row r="15" ht="19.5" customHeight="1">
      <c r="A15" s="21">
        <v>2.0</v>
      </c>
      <c r="B15" s="22" t="s">
        <v>535</v>
      </c>
      <c r="C15" s="22" t="s">
        <v>217</v>
      </c>
      <c r="D15" s="21">
        <v>5.0</v>
      </c>
      <c r="E15" s="22" t="s">
        <v>237</v>
      </c>
      <c r="F15" s="21">
        <v>1.0</v>
      </c>
      <c r="G15" s="22" t="s">
        <v>536</v>
      </c>
      <c r="H15" s="22" t="s">
        <v>382</v>
      </c>
      <c r="I15" s="22" t="s">
        <v>517</v>
      </c>
      <c r="J15" s="22" t="s">
        <v>537</v>
      </c>
    </row>
    <row r="16" ht="19.5" customHeight="1">
      <c r="A16" s="47">
        <v>1.0</v>
      </c>
      <c r="B16" s="26"/>
      <c r="C16" s="26"/>
      <c r="D16" s="26"/>
      <c r="E16" s="26"/>
      <c r="F16" s="26"/>
      <c r="G16" s="26"/>
      <c r="H16" s="26"/>
      <c r="I16" s="26"/>
      <c r="J16" s="26"/>
    </row>
    <row r="17" ht="19.5" customHeight="1">
      <c r="A17" s="46">
        <v>2.0</v>
      </c>
      <c r="B17" s="22"/>
      <c r="C17" s="22"/>
      <c r="D17" s="22"/>
      <c r="E17" s="22"/>
      <c r="F17" s="22"/>
      <c r="G17" s="22"/>
      <c r="H17" s="22"/>
      <c r="I17" s="22"/>
      <c r="J17" s="22"/>
    </row>
    <row r="18" ht="19.5" customHeight="1">
      <c r="A18" s="47">
        <v>3.0</v>
      </c>
      <c r="B18" s="26"/>
      <c r="C18" s="26"/>
      <c r="D18" s="26"/>
      <c r="E18" s="26"/>
      <c r="F18" s="26"/>
      <c r="G18" s="26"/>
      <c r="H18" s="26"/>
      <c r="I18" s="26"/>
      <c r="J18" s="26"/>
    </row>
    <row r="19" ht="19.5" customHeight="1">
      <c r="A19" s="46">
        <v>4.0</v>
      </c>
      <c r="B19" s="22"/>
      <c r="C19" s="22"/>
      <c r="D19" s="22"/>
      <c r="E19" s="22"/>
      <c r="F19" s="22"/>
      <c r="G19" s="22"/>
      <c r="H19" s="22"/>
      <c r="I19" s="22"/>
      <c r="J19" s="22"/>
    </row>
    <row r="20" ht="19.5" customHeight="1">
      <c r="A20" s="47">
        <v>5.0</v>
      </c>
      <c r="B20" s="26"/>
      <c r="C20" s="26"/>
      <c r="D20" s="26"/>
      <c r="E20" s="26"/>
      <c r="F20" s="26"/>
      <c r="G20" s="26"/>
      <c r="H20" s="26"/>
      <c r="I20" s="26"/>
      <c r="J20" s="26"/>
    </row>
    <row r="21" ht="19.5" customHeight="1">
      <c r="A21" s="46">
        <v>6.0</v>
      </c>
      <c r="B21" s="22"/>
      <c r="C21" s="22"/>
      <c r="D21" s="22"/>
      <c r="E21" s="22"/>
      <c r="F21" s="22"/>
      <c r="G21" s="22"/>
      <c r="H21" s="22"/>
      <c r="I21" s="22"/>
      <c r="J21" s="22"/>
    </row>
    <row r="22" ht="19.5" customHeight="1">
      <c r="A22" s="47">
        <v>7.0</v>
      </c>
      <c r="B22" s="26"/>
      <c r="C22" s="26"/>
      <c r="D22" s="26"/>
      <c r="E22" s="26"/>
      <c r="F22" s="26"/>
      <c r="G22" s="26"/>
      <c r="H22" s="26"/>
      <c r="I22" s="26"/>
      <c r="J22" s="26"/>
    </row>
    <row r="23" ht="19.5" customHeight="1">
      <c r="A23" s="46">
        <v>8.0</v>
      </c>
      <c r="B23" s="22"/>
      <c r="C23" s="22"/>
      <c r="D23" s="22"/>
      <c r="E23" s="22"/>
      <c r="F23" s="22"/>
      <c r="G23" s="22"/>
      <c r="H23" s="22"/>
      <c r="I23" s="22"/>
      <c r="J23" s="22"/>
    </row>
    <row r="24" ht="19.5" customHeight="1">
      <c r="A24" s="47">
        <v>9.0</v>
      </c>
      <c r="B24" s="26"/>
      <c r="C24" s="26"/>
      <c r="D24" s="26"/>
      <c r="E24" s="26"/>
      <c r="F24" s="26"/>
      <c r="G24" s="26"/>
      <c r="H24" s="26"/>
      <c r="I24" s="26"/>
      <c r="J24" s="26"/>
    </row>
    <row r="25" ht="19.5" customHeight="1">
      <c r="A25" s="46">
        <v>10.0</v>
      </c>
      <c r="B25" s="22"/>
      <c r="C25" s="22"/>
      <c r="D25" s="22"/>
      <c r="E25" s="22"/>
      <c r="F25" s="22"/>
      <c r="G25" s="22"/>
      <c r="H25" s="22"/>
      <c r="I25" s="22"/>
      <c r="J25" s="22"/>
    </row>
    <row r="26" ht="19.5" customHeight="1">
      <c r="A26" s="47">
        <v>11.0</v>
      </c>
      <c r="B26" s="26"/>
      <c r="C26" s="26"/>
      <c r="D26" s="26"/>
      <c r="E26" s="26"/>
      <c r="F26" s="26"/>
      <c r="G26" s="26"/>
      <c r="H26" s="26"/>
      <c r="I26" s="26"/>
      <c r="J26" s="26"/>
    </row>
    <row r="27" ht="19.5" customHeight="1">
      <c r="A27" s="46">
        <v>12.0</v>
      </c>
      <c r="B27" s="22"/>
      <c r="C27" s="22"/>
      <c r="D27" s="22"/>
      <c r="E27" s="22"/>
      <c r="F27" s="22"/>
      <c r="G27" s="22"/>
      <c r="H27" s="22"/>
      <c r="I27" s="22"/>
      <c r="J27" s="22"/>
    </row>
    <row r="28" ht="19.5" customHeight="1">
      <c r="A28" s="47">
        <v>13.0</v>
      </c>
      <c r="B28" s="26"/>
      <c r="C28" s="26"/>
      <c r="D28" s="26"/>
      <c r="E28" s="26"/>
      <c r="F28" s="26"/>
      <c r="G28" s="26"/>
      <c r="H28" s="26"/>
      <c r="I28" s="26"/>
      <c r="J28" s="26"/>
    </row>
    <row r="29" ht="19.5" customHeight="1">
      <c r="A29" s="46">
        <v>14.0</v>
      </c>
      <c r="B29" s="22"/>
      <c r="C29" s="22"/>
      <c r="D29" s="22"/>
      <c r="E29" s="22"/>
      <c r="F29" s="22"/>
      <c r="G29" s="22"/>
      <c r="H29" s="22"/>
      <c r="I29" s="22"/>
      <c r="J29" s="22"/>
    </row>
    <row r="30" ht="19.5" customHeight="1">
      <c r="A30" s="47">
        <v>15.0</v>
      </c>
      <c r="B30" s="26"/>
      <c r="C30" s="26"/>
      <c r="D30" s="26"/>
      <c r="E30" s="26"/>
      <c r="F30" s="26"/>
      <c r="G30" s="26"/>
      <c r="H30" s="26"/>
      <c r="I30" s="26"/>
      <c r="J30" s="26"/>
    </row>
    <row r="31" ht="19.5" customHeight="1">
      <c r="A31" s="46">
        <v>16.0</v>
      </c>
      <c r="B31" s="22"/>
      <c r="C31" s="22"/>
      <c r="D31" s="22"/>
      <c r="E31" s="22"/>
      <c r="F31" s="22"/>
      <c r="G31" s="22"/>
      <c r="H31" s="22"/>
      <c r="I31" s="22"/>
      <c r="J31" s="22"/>
    </row>
    <row r="32" ht="19.5" customHeight="1">
      <c r="A32" s="47">
        <v>17.0</v>
      </c>
      <c r="B32" s="26"/>
      <c r="C32" s="26"/>
      <c r="D32" s="26"/>
      <c r="E32" s="26"/>
      <c r="F32" s="26"/>
      <c r="G32" s="26"/>
      <c r="H32" s="26"/>
      <c r="I32" s="26"/>
      <c r="J32" s="26"/>
    </row>
    <row r="33" ht="19.5" customHeight="1">
      <c r="A33" s="46">
        <v>18.0</v>
      </c>
      <c r="B33" s="22"/>
      <c r="C33" s="22"/>
      <c r="D33" s="22"/>
      <c r="E33" s="22"/>
      <c r="F33" s="22"/>
      <c r="G33" s="22"/>
      <c r="H33" s="22"/>
      <c r="I33" s="22"/>
      <c r="J33" s="22"/>
    </row>
    <row r="34" ht="19.5" customHeight="1">
      <c r="A34" s="47">
        <v>19.0</v>
      </c>
      <c r="B34" s="26"/>
      <c r="C34" s="26"/>
      <c r="D34" s="26"/>
      <c r="E34" s="26"/>
      <c r="F34" s="26"/>
      <c r="G34" s="26"/>
      <c r="H34" s="26"/>
      <c r="I34" s="26"/>
      <c r="J34" s="26"/>
    </row>
    <row r="35" ht="19.5" customHeight="1">
      <c r="A35" s="46">
        <v>20.0</v>
      </c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J2"/>
    <mergeCell ref="A3:J3"/>
    <mergeCell ref="A4:J4"/>
    <mergeCell ref="A5:J5"/>
    <mergeCell ref="A12:J1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3A40"/>
    <pageSetUpPr/>
  </sheetPr>
  <sheetViews>
    <sheetView showGridLines="0" workbookViewId="0"/>
  </sheetViews>
  <sheetFormatPr customHeight="1" defaultColWidth="14.43" defaultRowHeight="15.0"/>
  <cols>
    <col customWidth="1" min="1" max="1" width="98.57"/>
    <col customWidth="1" min="2" max="3" width="26.0"/>
    <col customWidth="1" min="4" max="4" width="18.0"/>
    <col customWidth="1" min="5" max="10" width="14.0"/>
    <col customWidth="1" min="11" max="11" width="20.0"/>
    <col customWidth="1" min="12" max="26" width="8.71"/>
  </cols>
  <sheetData>
    <row r="1" ht="6.0" customHeight="1"/>
    <row r="2" ht="39.75" customHeight="1">
      <c r="A2" s="1" t="s">
        <v>538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9.5" customHeight="1">
      <c r="A3" s="4" t="s">
        <v>539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19.5" customHeight="1">
      <c r="A4" s="5" t="s">
        <v>540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18.0" customHeight="1">
      <c r="A5" s="7" t="s">
        <v>541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ht="36.0" customHeight="1">
      <c r="A6" s="42" t="s">
        <v>542</v>
      </c>
      <c r="B6" s="42" t="s">
        <v>543</v>
      </c>
      <c r="C6" s="42" t="s">
        <v>544</v>
      </c>
      <c r="D6" s="42" t="s">
        <v>545</v>
      </c>
      <c r="E6" s="42" t="s">
        <v>546</v>
      </c>
      <c r="F6" s="42" t="s">
        <v>547</v>
      </c>
      <c r="G6" s="42" t="s">
        <v>548</v>
      </c>
      <c r="H6" s="42" t="s">
        <v>549</v>
      </c>
      <c r="I6" s="42" t="s">
        <v>550</v>
      </c>
      <c r="J6" s="42" t="s">
        <v>551</v>
      </c>
      <c r="K6" s="42" t="s">
        <v>418</v>
      </c>
    </row>
    <row r="7" ht="21.75" customHeight="1">
      <c r="A7" s="22" t="s">
        <v>552</v>
      </c>
      <c r="B7" s="50" t="s">
        <v>553</v>
      </c>
      <c r="C7" s="50" t="s">
        <v>553</v>
      </c>
      <c r="D7" s="50" t="s">
        <v>553</v>
      </c>
      <c r="E7" s="50" t="s">
        <v>554</v>
      </c>
      <c r="F7" s="50" t="s">
        <v>555</v>
      </c>
      <c r="G7" s="50" t="s">
        <v>553</v>
      </c>
      <c r="H7" s="50" t="s">
        <v>553</v>
      </c>
      <c r="I7" s="50" t="s">
        <v>553</v>
      </c>
      <c r="J7" s="22" t="s">
        <v>556</v>
      </c>
      <c r="K7" s="22" t="s">
        <v>557</v>
      </c>
    </row>
    <row r="8" ht="21.75" customHeight="1">
      <c r="A8" s="26" t="s">
        <v>558</v>
      </c>
      <c r="B8" s="51" t="s">
        <v>559</v>
      </c>
      <c r="C8" s="51" t="s">
        <v>559</v>
      </c>
      <c r="D8" s="51" t="s">
        <v>559</v>
      </c>
      <c r="E8" s="51" t="s">
        <v>559</v>
      </c>
      <c r="F8" s="52" t="s">
        <v>560</v>
      </c>
      <c r="G8" s="51" t="s">
        <v>559</v>
      </c>
      <c r="H8" s="51" t="s">
        <v>559</v>
      </c>
      <c r="I8" s="52" t="s">
        <v>553</v>
      </c>
      <c r="J8" s="26" t="s">
        <v>561</v>
      </c>
      <c r="K8" s="26" t="s">
        <v>562</v>
      </c>
    </row>
    <row r="9" ht="21.75" customHeight="1">
      <c r="A9" s="22" t="s">
        <v>456</v>
      </c>
      <c r="B9" s="50" t="s">
        <v>563</v>
      </c>
      <c r="C9" s="50" t="s">
        <v>563</v>
      </c>
      <c r="D9" s="50" t="s">
        <v>563</v>
      </c>
      <c r="E9" s="50" t="s">
        <v>564</v>
      </c>
      <c r="F9" s="50" t="s">
        <v>565</v>
      </c>
      <c r="G9" s="50" t="s">
        <v>563</v>
      </c>
      <c r="H9" s="53" t="s">
        <v>559</v>
      </c>
      <c r="I9" s="53" t="s">
        <v>559</v>
      </c>
      <c r="J9" s="22" t="s">
        <v>566</v>
      </c>
      <c r="K9" s="22" t="s">
        <v>567</v>
      </c>
    </row>
    <row r="10" ht="21.75" customHeight="1">
      <c r="A10" s="26" t="s">
        <v>568</v>
      </c>
      <c r="B10" s="52" t="s">
        <v>563</v>
      </c>
      <c r="C10" s="51" t="s">
        <v>559</v>
      </c>
      <c r="D10" s="51" t="s">
        <v>559</v>
      </c>
      <c r="E10" s="52" t="s">
        <v>569</v>
      </c>
      <c r="F10" s="52" t="s">
        <v>570</v>
      </c>
      <c r="G10" s="51" t="s">
        <v>559</v>
      </c>
      <c r="H10" s="51" t="s">
        <v>559</v>
      </c>
      <c r="I10" s="51" t="s">
        <v>559</v>
      </c>
      <c r="J10" s="26" t="s">
        <v>566</v>
      </c>
      <c r="K10" s="26" t="s">
        <v>571</v>
      </c>
    </row>
    <row r="11" ht="21.75" customHeight="1">
      <c r="A11" s="22" t="s">
        <v>572</v>
      </c>
      <c r="B11" s="53" t="s">
        <v>559</v>
      </c>
      <c r="C11" s="53" t="s">
        <v>559</v>
      </c>
      <c r="D11" s="53" t="s">
        <v>559</v>
      </c>
      <c r="E11" s="53" t="s">
        <v>559</v>
      </c>
      <c r="F11" s="53" t="s">
        <v>559</v>
      </c>
      <c r="G11" s="50" t="s">
        <v>573</v>
      </c>
      <c r="H11" s="53" t="s">
        <v>559</v>
      </c>
      <c r="I11" s="53" t="s">
        <v>559</v>
      </c>
      <c r="J11" s="22" t="s">
        <v>561</v>
      </c>
      <c r="K11" s="22" t="s">
        <v>574</v>
      </c>
    </row>
    <row r="12" ht="21.75" customHeight="1">
      <c r="A12" s="26" t="s">
        <v>575</v>
      </c>
      <c r="B12" s="51" t="s">
        <v>559</v>
      </c>
      <c r="C12" s="52" t="s">
        <v>563</v>
      </c>
      <c r="D12" s="51" t="s">
        <v>559</v>
      </c>
      <c r="E12" s="52" t="s">
        <v>576</v>
      </c>
      <c r="F12" s="52" t="s">
        <v>577</v>
      </c>
      <c r="G12" s="51" t="s">
        <v>559</v>
      </c>
      <c r="H12" s="51" t="s">
        <v>559</v>
      </c>
      <c r="I12" s="51" t="s">
        <v>559</v>
      </c>
      <c r="J12" s="26" t="s">
        <v>561</v>
      </c>
      <c r="K12" s="26" t="s">
        <v>578</v>
      </c>
    </row>
    <row r="13" ht="21.75" customHeight="1">
      <c r="A13" s="22" t="s">
        <v>579</v>
      </c>
      <c r="B13" s="53" t="s">
        <v>559</v>
      </c>
      <c r="C13" s="53" t="s">
        <v>559</v>
      </c>
      <c r="D13" s="53" t="s">
        <v>559</v>
      </c>
      <c r="E13" s="53" t="s">
        <v>559</v>
      </c>
      <c r="F13" s="50" t="s">
        <v>580</v>
      </c>
      <c r="G13" s="53" t="s">
        <v>559</v>
      </c>
      <c r="H13" s="53" t="s">
        <v>559</v>
      </c>
      <c r="I13" s="53" t="s">
        <v>559</v>
      </c>
      <c r="J13" s="22" t="s">
        <v>561</v>
      </c>
      <c r="K13" s="22" t="s">
        <v>581</v>
      </c>
    </row>
    <row r="15" ht="18.0" customHeight="1">
      <c r="A15" s="7" t="s">
        <v>582</v>
      </c>
      <c r="B15" s="8"/>
      <c r="C15" s="8"/>
      <c r="D15" s="8"/>
      <c r="E15" s="8"/>
      <c r="F15" s="8"/>
      <c r="G15" s="8"/>
      <c r="H15" s="8"/>
      <c r="I15" s="8"/>
      <c r="J15" s="8"/>
      <c r="K15" s="9"/>
    </row>
    <row r="16" ht="36.0" customHeight="1">
      <c r="A16" s="17" t="s">
        <v>3</v>
      </c>
      <c r="B16" s="17" t="s">
        <v>583</v>
      </c>
      <c r="C16" s="17" t="s">
        <v>584</v>
      </c>
      <c r="D16" s="17" t="s">
        <v>585</v>
      </c>
      <c r="E16" s="17" t="s">
        <v>586</v>
      </c>
      <c r="F16" s="17" t="s">
        <v>587</v>
      </c>
      <c r="G16" s="17" t="s">
        <v>588</v>
      </c>
      <c r="H16" s="17" t="s">
        <v>589</v>
      </c>
      <c r="I16" s="17" t="s">
        <v>590</v>
      </c>
      <c r="J16" s="17" t="s">
        <v>551</v>
      </c>
      <c r="K16" s="17" t="s">
        <v>591</v>
      </c>
    </row>
    <row r="17" ht="21.75" customHeight="1">
      <c r="A17" s="21">
        <v>1.0</v>
      </c>
      <c r="B17" s="22" t="s">
        <v>592</v>
      </c>
      <c r="C17" s="22" t="s">
        <v>593</v>
      </c>
      <c r="D17" s="22" t="s">
        <v>552</v>
      </c>
      <c r="E17" s="22" t="s">
        <v>594</v>
      </c>
      <c r="F17" s="22" t="s">
        <v>595</v>
      </c>
      <c r="G17" s="22"/>
      <c r="H17" s="22" t="s">
        <v>596</v>
      </c>
      <c r="I17" s="22" t="s">
        <v>517</v>
      </c>
      <c r="J17" s="22" t="s">
        <v>517</v>
      </c>
      <c r="K17" s="22" t="s">
        <v>597</v>
      </c>
    </row>
    <row r="18" ht="21.75" customHeight="1">
      <c r="A18" s="54">
        <v>2.0</v>
      </c>
      <c r="B18" s="55" t="s">
        <v>598</v>
      </c>
      <c r="C18" s="55" t="s">
        <v>599</v>
      </c>
      <c r="D18" s="55" t="s">
        <v>568</v>
      </c>
      <c r="E18" s="55" t="s">
        <v>600</v>
      </c>
      <c r="F18" s="55"/>
      <c r="G18" s="55"/>
      <c r="H18" s="56" t="s">
        <v>601</v>
      </c>
      <c r="I18" s="55" t="s">
        <v>101</v>
      </c>
      <c r="J18" s="55" t="s">
        <v>566</v>
      </c>
      <c r="K18" s="55" t="s">
        <v>602</v>
      </c>
    </row>
    <row r="19" ht="21.75" customHeight="1">
      <c r="A19" s="54">
        <v>3.0</v>
      </c>
      <c r="B19" s="55" t="s">
        <v>456</v>
      </c>
      <c r="C19" s="55" t="s">
        <v>603</v>
      </c>
      <c r="D19" s="55" t="s">
        <v>456</v>
      </c>
      <c r="E19" s="55" t="s">
        <v>604</v>
      </c>
      <c r="F19" s="55"/>
      <c r="G19" s="55"/>
      <c r="H19" s="56" t="s">
        <v>601</v>
      </c>
      <c r="I19" s="55" t="s">
        <v>101</v>
      </c>
      <c r="J19" s="55" t="s">
        <v>566</v>
      </c>
      <c r="K19" s="55" t="s">
        <v>605</v>
      </c>
    </row>
    <row r="20" ht="21.75" customHeight="1">
      <c r="A20" s="54">
        <v>4.0</v>
      </c>
      <c r="B20" s="55" t="s">
        <v>606</v>
      </c>
      <c r="C20" s="55" t="s">
        <v>607</v>
      </c>
      <c r="D20" s="55" t="s">
        <v>575</v>
      </c>
      <c r="E20" s="55"/>
      <c r="F20" s="55"/>
      <c r="G20" s="55"/>
      <c r="H20" s="56" t="s">
        <v>601</v>
      </c>
      <c r="I20" s="55" t="s">
        <v>517</v>
      </c>
      <c r="J20" s="55" t="s">
        <v>561</v>
      </c>
      <c r="K20" s="55" t="s">
        <v>608</v>
      </c>
    </row>
    <row r="21" ht="21.75" customHeight="1">
      <c r="A21" s="54">
        <v>5.0</v>
      </c>
      <c r="B21" s="55" t="s">
        <v>609</v>
      </c>
      <c r="C21" s="55" t="s">
        <v>610</v>
      </c>
      <c r="D21" s="55" t="s">
        <v>558</v>
      </c>
      <c r="E21" s="55"/>
      <c r="F21" s="55"/>
      <c r="G21" s="55"/>
      <c r="H21" s="56" t="s">
        <v>601</v>
      </c>
      <c r="I21" s="55" t="s">
        <v>561</v>
      </c>
      <c r="J21" s="55" t="s">
        <v>561</v>
      </c>
      <c r="K21" s="55" t="s">
        <v>611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K2"/>
    <mergeCell ref="A3:K3"/>
    <mergeCell ref="A4:K4"/>
    <mergeCell ref="A5:K5"/>
    <mergeCell ref="A15:K15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8A745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26.0"/>
    <col customWidth="1" min="4" max="4" width="30.0"/>
    <col customWidth="1" min="5" max="5" width="22.0"/>
    <col customWidth="1" min="6" max="6" width="18.0"/>
    <col customWidth="1" min="7" max="7" width="30.0"/>
    <col customWidth="1" min="8" max="26" width="8.71"/>
  </cols>
  <sheetData>
    <row r="1" ht="6.0" customHeight="1"/>
    <row r="2" ht="39.75" customHeight="1">
      <c r="A2" s="1" t="s">
        <v>612</v>
      </c>
      <c r="B2" s="2"/>
      <c r="C2" s="2"/>
      <c r="D2" s="2"/>
      <c r="E2" s="2"/>
      <c r="F2" s="2"/>
      <c r="G2" s="3"/>
    </row>
    <row r="3" ht="19.5" customHeight="1">
      <c r="A3" s="4" t="s">
        <v>613</v>
      </c>
      <c r="B3" s="2"/>
      <c r="C3" s="2"/>
      <c r="D3" s="2"/>
      <c r="E3" s="2"/>
      <c r="F3" s="2"/>
      <c r="G3" s="3"/>
    </row>
    <row r="4" ht="19.5" customHeight="1">
      <c r="A4" s="5" t="s">
        <v>614</v>
      </c>
      <c r="B4" s="2"/>
      <c r="C4" s="2"/>
      <c r="D4" s="2"/>
      <c r="E4" s="2"/>
      <c r="F4" s="2"/>
      <c r="G4" s="3"/>
    </row>
    <row r="7" ht="21.75" customHeight="1">
      <c r="A7" s="17"/>
      <c r="B7" s="17" t="s">
        <v>3</v>
      </c>
      <c r="C7" s="17" t="s">
        <v>615</v>
      </c>
      <c r="D7" s="17" t="s">
        <v>616</v>
      </c>
      <c r="E7" s="17" t="s">
        <v>617</v>
      </c>
      <c r="F7" s="17" t="s">
        <v>618</v>
      </c>
      <c r="G7" s="17" t="s">
        <v>418</v>
      </c>
    </row>
    <row r="8" ht="18.0" customHeight="1">
      <c r="A8" s="7" t="s">
        <v>619</v>
      </c>
      <c r="B8" s="8"/>
      <c r="C8" s="8"/>
      <c r="D8" s="8"/>
      <c r="E8" s="8"/>
      <c r="F8" s="8"/>
      <c r="G8" s="9"/>
    </row>
    <row r="9" ht="19.5" customHeight="1">
      <c r="A9" s="57" t="s">
        <v>620</v>
      </c>
      <c r="B9" s="58">
        <v>1.0</v>
      </c>
      <c r="C9" s="59" t="s">
        <v>621</v>
      </c>
      <c r="D9" s="22" t="s">
        <v>622</v>
      </c>
      <c r="E9" s="60" t="s">
        <v>19</v>
      </c>
      <c r="F9" s="61" t="s">
        <v>623</v>
      </c>
      <c r="G9" s="15" t="s">
        <v>624</v>
      </c>
    </row>
    <row r="10" ht="19.5" customHeight="1">
      <c r="A10" s="62" t="s">
        <v>620</v>
      </c>
      <c r="B10" s="63">
        <v>2.0</v>
      </c>
      <c r="C10" s="64" t="s">
        <v>621</v>
      </c>
      <c r="D10" s="26" t="s">
        <v>625</v>
      </c>
      <c r="E10" s="60" t="s">
        <v>19</v>
      </c>
      <c r="F10" s="61" t="s">
        <v>623</v>
      </c>
      <c r="G10" s="15" t="s">
        <v>626</v>
      </c>
    </row>
    <row r="11" ht="19.5" customHeight="1">
      <c r="A11" s="57" t="s">
        <v>620</v>
      </c>
      <c r="B11" s="58">
        <v>3.0</v>
      </c>
      <c r="C11" s="59" t="s">
        <v>621</v>
      </c>
      <c r="D11" s="22" t="s">
        <v>627</v>
      </c>
      <c r="E11" s="60" t="s">
        <v>628</v>
      </c>
      <c r="F11" s="61" t="s">
        <v>629</v>
      </c>
      <c r="G11" s="15" t="s">
        <v>630</v>
      </c>
    </row>
    <row r="12" ht="19.5" customHeight="1">
      <c r="A12" s="62" t="s">
        <v>620</v>
      </c>
      <c r="B12" s="63">
        <v>4.0</v>
      </c>
      <c r="C12" s="64" t="s">
        <v>621</v>
      </c>
      <c r="D12" s="26" t="s">
        <v>631</v>
      </c>
      <c r="E12" s="60" t="s">
        <v>19</v>
      </c>
      <c r="F12" s="61" t="s">
        <v>632</v>
      </c>
      <c r="G12" s="15" t="s">
        <v>633</v>
      </c>
    </row>
    <row r="13" ht="19.5" customHeight="1">
      <c r="A13" s="57" t="s">
        <v>620</v>
      </c>
      <c r="B13" s="65">
        <v>5.0</v>
      </c>
      <c r="C13" s="59" t="s">
        <v>621</v>
      </c>
      <c r="D13" s="22" t="s">
        <v>634</v>
      </c>
      <c r="E13" s="60" t="s">
        <v>11</v>
      </c>
      <c r="F13" s="61" t="s">
        <v>635</v>
      </c>
      <c r="G13" s="15" t="s">
        <v>636</v>
      </c>
    </row>
    <row r="14" ht="19.5" customHeight="1">
      <c r="A14" s="62" t="s">
        <v>620</v>
      </c>
      <c r="B14" s="65">
        <v>6.0</v>
      </c>
      <c r="C14" s="64" t="s">
        <v>621</v>
      </c>
      <c r="D14" s="26" t="s">
        <v>637</v>
      </c>
      <c r="E14" s="60" t="s">
        <v>19</v>
      </c>
      <c r="F14" s="61" t="s">
        <v>635</v>
      </c>
      <c r="G14" s="15" t="s">
        <v>638</v>
      </c>
    </row>
    <row r="15" ht="19.5" customHeight="1">
      <c r="A15" s="57" t="s">
        <v>620</v>
      </c>
      <c r="B15" s="58">
        <v>7.0</v>
      </c>
      <c r="C15" s="59" t="s">
        <v>621</v>
      </c>
      <c r="D15" s="22" t="s">
        <v>639</v>
      </c>
      <c r="E15" s="60" t="s">
        <v>19</v>
      </c>
      <c r="F15" s="61" t="s">
        <v>640</v>
      </c>
      <c r="G15" s="15" t="s">
        <v>641</v>
      </c>
    </row>
    <row r="16" ht="19.5" customHeight="1">
      <c r="A16" s="62" t="s">
        <v>620</v>
      </c>
      <c r="B16" s="63">
        <v>8.0</v>
      </c>
      <c r="C16" s="64" t="s">
        <v>621</v>
      </c>
      <c r="D16" s="26" t="s">
        <v>642</v>
      </c>
      <c r="E16" s="60" t="s">
        <v>27</v>
      </c>
      <c r="F16" s="61" t="s">
        <v>643</v>
      </c>
      <c r="G16" s="15" t="s">
        <v>644</v>
      </c>
    </row>
    <row r="17" ht="19.5" customHeight="1">
      <c r="A17" s="57" t="s">
        <v>620</v>
      </c>
      <c r="B17" s="58">
        <v>9.0</v>
      </c>
      <c r="C17" s="59" t="s">
        <v>621</v>
      </c>
      <c r="D17" s="22" t="s">
        <v>645</v>
      </c>
      <c r="E17" s="60" t="s">
        <v>27</v>
      </c>
      <c r="F17" s="61" t="s">
        <v>646</v>
      </c>
      <c r="G17" s="15" t="s">
        <v>647</v>
      </c>
    </row>
    <row r="18" ht="19.5" customHeight="1">
      <c r="A18" s="62" t="s">
        <v>620</v>
      </c>
      <c r="B18" s="63">
        <v>10.0</v>
      </c>
      <c r="C18" s="64" t="s">
        <v>621</v>
      </c>
      <c r="D18" s="26" t="s">
        <v>648</v>
      </c>
      <c r="E18" s="60" t="s">
        <v>19</v>
      </c>
      <c r="F18" s="61" t="s">
        <v>649</v>
      </c>
      <c r="G18" s="15" t="s">
        <v>650</v>
      </c>
    </row>
    <row r="19" ht="18.0" customHeight="1">
      <c r="A19" s="7" t="s">
        <v>651</v>
      </c>
      <c r="B19" s="8"/>
      <c r="C19" s="8"/>
      <c r="D19" s="8"/>
      <c r="E19" s="8"/>
      <c r="F19" s="8"/>
      <c r="G19" s="9"/>
    </row>
    <row r="20" ht="19.5" customHeight="1">
      <c r="A20" s="62" t="s">
        <v>620</v>
      </c>
      <c r="B20" s="63">
        <v>11.0</v>
      </c>
      <c r="C20" s="64" t="s">
        <v>652</v>
      </c>
      <c r="D20" s="26" t="s">
        <v>653</v>
      </c>
      <c r="E20" s="60" t="s">
        <v>654</v>
      </c>
      <c r="F20" s="61" t="s">
        <v>655</v>
      </c>
      <c r="G20" s="15" t="s">
        <v>656</v>
      </c>
    </row>
    <row r="21" ht="19.5" customHeight="1">
      <c r="A21" s="57" t="s">
        <v>620</v>
      </c>
      <c r="B21" s="65">
        <v>12.0</v>
      </c>
      <c r="C21" s="59" t="s">
        <v>652</v>
      </c>
      <c r="D21" s="22" t="s">
        <v>657</v>
      </c>
      <c r="E21" s="60" t="s">
        <v>23</v>
      </c>
      <c r="F21" s="61" t="s">
        <v>655</v>
      </c>
      <c r="G21" s="15" t="s">
        <v>658</v>
      </c>
    </row>
    <row r="22" ht="19.5" customHeight="1">
      <c r="A22" s="62" t="s">
        <v>620</v>
      </c>
      <c r="B22" s="65">
        <v>13.0</v>
      </c>
      <c r="C22" s="64" t="s">
        <v>652</v>
      </c>
      <c r="D22" s="26" t="s">
        <v>659</v>
      </c>
      <c r="E22" s="60" t="s">
        <v>23</v>
      </c>
      <c r="F22" s="61" t="s">
        <v>660</v>
      </c>
      <c r="G22" s="15" t="s">
        <v>661</v>
      </c>
    </row>
    <row r="23" ht="19.5" customHeight="1">
      <c r="A23" s="57" t="s">
        <v>620</v>
      </c>
      <c r="B23" s="58">
        <v>14.0</v>
      </c>
      <c r="C23" s="59" t="s">
        <v>652</v>
      </c>
      <c r="D23" s="22" t="s">
        <v>662</v>
      </c>
      <c r="E23" s="60" t="s">
        <v>23</v>
      </c>
      <c r="F23" s="61" t="s">
        <v>660</v>
      </c>
      <c r="G23" s="15" t="s">
        <v>663</v>
      </c>
    </row>
    <row r="24" ht="19.5" customHeight="1">
      <c r="A24" s="62" t="s">
        <v>620</v>
      </c>
      <c r="B24" s="63">
        <v>15.0</v>
      </c>
      <c r="C24" s="64" t="s">
        <v>652</v>
      </c>
      <c r="D24" s="26" t="s">
        <v>664</v>
      </c>
      <c r="E24" s="60" t="s">
        <v>23</v>
      </c>
      <c r="F24" s="61" t="s">
        <v>665</v>
      </c>
      <c r="G24" s="15" t="s">
        <v>666</v>
      </c>
    </row>
    <row r="25" ht="19.5" customHeight="1">
      <c r="A25" s="57" t="s">
        <v>620</v>
      </c>
      <c r="B25" s="58">
        <v>16.0</v>
      </c>
      <c r="C25" s="59" t="s">
        <v>652</v>
      </c>
      <c r="D25" s="22" t="s">
        <v>667</v>
      </c>
      <c r="E25" s="60" t="s">
        <v>23</v>
      </c>
      <c r="F25" s="61" t="s">
        <v>668</v>
      </c>
      <c r="G25" s="15" t="s">
        <v>669</v>
      </c>
    </row>
    <row r="26" ht="19.5" customHeight="1">
      <c r="A26" s="62" t="s">
        <v>620</v>
      </c>
      <c r="B26" s="65">
        <v>17.0</v>
      </c>
      <c r="C26" s="64" t="s">
        <v>652</v>
      </c>
      <c r="D26" s="26" t="s">
        <v>670</v>
      </c>
      <c r="E26" s="60" t="s">
        <v>671</v>
      </c>
      <c r="F26" s="61" t="s">
        <v>672</v>
      </c>
      <c r="G26" s="15" t="s">
        <v>673</v>
      </c>
    </row>
    <row r="27" ht="18.0" customHeight="1">
      <c r="A27" s="7" t="s">
        <v>674</v>
      </c>
      <c r="B27" s="8"/>
      <c r="C27" s="8"/>
      <c r="D27" s="8"/>
      <c r="E27" s="8"/>
      <c r="F27" s="8"/>
      <c r="G27" s="9"/>
    </row>
    <row r="28" ht="19.5" customHeight="1">
      <c r="A28" s="62" t="s">
        <v>620</v>
      </c>
      <c r="B28" s="63">
        <v>18.0</v>
      </c>
      <c r="C28" s="64" t="s">
        <v>675</v>
      </c>
      <c r="D28" s="26" t="s">
        <v>676</v>
      </c>
      <c r="E28" s="60" t="s">
        <v>677</v>
      </c>
      <c r="F28" s="61" t="s">
        <v>660</v>
      </c>
      <c r="G28" s="15" t="s">
        <v>678</v>
      </c>
    </row>
    <row r="29" ht="19.5" customHeight="1">
      <c r="A29" s="57" t="s">
        <v>620</v>
      </c>
      <c r="B29" s="58">
        <v>19.0</v>
      </c>
      <c r="C29" s="59" t="s">
        <v>675</v>
      </c>
      <c r="D29" s="22" t="s">
        <v>679</v>
      </c>
      <c r="E29" s="60" t="s">
        <v>677</v>
      </c>
      <c r="F29" s="61" t="s">
        <v>680</v>
      </c>
      <c r="G29" s="15" t="s">
        <v>678</v>
      </c>
    </row>
    <row r="30" ht="19.5" customHeight="1">
      <c r="A30" s="62" t="s">
        <v>620</v>
      </c>
      <c r="B30" s="63">
        <v>20.0</v>
      </c>
      <c r="C30" s="64" t="s">
        <v>675</v>
      </c>
      <c r="D30" s="26" t="s">
        <v>681</v>
      </c>
      <c r="E30" s="60" t="s">
        <v>677</v>
      </c>
      <c r="F30" s="61" t="s">
        <v>682</v>
      </c>
      <c r="G30" s="15" t="s">
        <v>683</v>
      </c>
    </row>
    <row r="31" ht="19.5" customHeight="1">
      <c r="A31" s="57" t="s">
        <v>620</v>
      </c>
      <c r="B31" s="58">
        <v>21.0</v>
      </c>
      <c r="C31" s="59" t="s">
        <v>675</v>
      </c>
      <c r="D31" s="22" t="s">
        <v>684</v>
      </c>
      <c r="E31" s="60" t="s">
        <v>677</v>
      </c>
      <c r="F31" s="61" t="s">
        <v>660</v>
      </c>
      <c r="G31" s="15" t="s">
        <v>685</v>
      </c>
    </row>
    <row r="32" ht="19.5" customHeight="1">
      <c r="A32" s="62" t="s">
        <v>620</v>
      </c>
      <c r="B32" s="63">
        <v>22.0</v>
      </c>
      <c r="C32" s="64" t="s">
        <v>675</v>
      </c>
      <c r="D32" s="26" t="s">
        <v>686</v>
      </c>
      <c r="E32" s="60" t="s">
        <v>677</v>
      </c>
      <c r="F32" s="61" t="s">
        <v>680</v>
      </c>
      <c r="G32" s="15" t="s">
        <v>685</v>
      </c>
    </row>
    <row r="33" ht="19.5" customHeight="1">
      <c r="A33" s="57" t="s">
        <v>620</v>
      </c>
      <c r="B33" s="58">
        <v>23.0</v>
      </c>
      <c r="C33" s="59" t="s">
        <v>675</v>
      </c>
      <c r="D33" s="22" t="s">
        <v>687</v>
      </c>
      <c r="E33" s="60" t="s">
        <v>677</v>
      </c>
      <c r="F33" s="61" t="s">
        <v>682</v>
      </c>
      <c r="G33" s="15" t="s">
        <v>688</v>
      </c>
    </row>
    <row r="34" ht="19.5" customHeight="1">
      <c r="A34" s="62" t="s">
        <v>620</v>
      </c>
      <c r="B34" s="63">
        <v>24.0</v>
      </c>
      <c r="C34" s="64" t="s">
        <v>675</v>
      </c>
      <c r="D34" s="26" t="s">
        <v>689</v>
      </c>
      <c r="E34" s="60" t="s">
        <v>677</v>
      </c>
      <c r="F34" s="61"/>
      <c r="G34" s="15" t="s">
        <v>690</v>
      </c>
    </row>
    <row r="35" ht="19.5" customHeight="1">
      <c r="A35" s="57" t="s">
        <v>620</v>
      </c>
      <c r="B35" s="58">
        <v>25.0</v>
      </c>
      <c r="C35" s="59" t="s">
        <v>675</v>
      </c>
      <c r="D35" s="22" t="s">
        <v>691</v>
      </c>
      <c r="E35" s="60" t="s">
        <v>677</v>
      </c>
      <c r="F35" s="61"/>
      <c r="G35" s="15" t="s">
        <v>692</v>
      </c>
    </row>
    <row r="36" ht="19.5" customHeight="1">
      <c r="A36" s="62" t="s">
        <v>620</v>
      </c>
      <c r="B36" s="63">
        <v>26.0</v>
      </c>
      <c r="C36" s="64" t="s">
        <v>675</v>
      </c>
      <c r="D36" s="26" t="s">
        <v>693</v>
      </c>
      <c r="E36" s="60" t="s">
        <v>677</v>
      </c>
      <c r="F36" s="61"/>
      <c r="G36" s="15" t="s">
        <v>694</v>
      </c>
    </row>
    <row r="37" ht="19.5" customHeight="1">
      <c r="A37" s="57" t="s">
        <v>620</v>
      </c>
      <c r="B37" s="58">
        <v>27.0</v>
      </c>
      <c r="C37" s="59" t="s">
        <v>675</v>
      </c>
      <c r="D37" s="22" t="s">
        <v>695</v>
      </c>
      <c r="E37" s="60" t="s">
        <v>677</v>
      </c>
      <c r="F37" s="61"/>
      <c r="G37" s="15" t="s">
        <v>696</v>
      </c>
    </row>
    <row r="38" ht="19.5" customHeight="1">
      <c r="A38" s="62" t="s">
        <v>620</v>
      </c>
      <c r="B38" s="63">
        <v>28.0</v>
      </c>
      <c r="C38" s="64" t="s">
        <v>675</v>
      </c>
      <c r="D38" s="26" t="s">
        <v>697</v>
      </c>
      <c r="E38" s="60" t="s">
        <v>677</v>
      </c>
      <c r="F38" s="61"/>
      <c r="G38" s="15" t="s">
        <v>698</v>
      </c>
    </row>
    <row r="39" ht="19.5" customHeight="1">
      <c r="A39" s="57" t="s">
        <v>620</v>
      </c>
      <c r="B39" s="58">
        <v>29.0</v>
      </c>
      <c r="C39" s="59" t="s">
        <v>675</v>
      </c>
      <c r="D39" s="22" t="s">
        <v>699</v>
      </c>
      <c r="E39" s="60" t="s">
        <v>166</v>
      </c>
      <c r="F39" s="61" t="s">
        <v>635</v>
      </c>
      <c r="G39" s="15" t="s">
        <v>700</v>
      </c>
    </row>
    <row r="40" ht="18.0" customHeight="1">
      <c r="A40" s="7" t="s">
        <v>701</v>
      </c>
      <c r="B40" s="8"/>
      <c r="C40" s="8"/>
      <c r="D40" s="8"/>
      <c r="E40" s="8"/>
      <c r="F40" s="8"/>
      <c r="G40" s="9"/>
    </row>
    <row r="41" ht="19.5" customHeight="1">
      <c r="A41" s="57" t="s">
        <v>620</v>
      </c>
      <c r="B41" s="58">
        <v>30.0</v>
      </c>
      <c r="C41" s="59" t="s">
        <v>702</v>
      </c>
      <c r="D41" s="22" t="s">
        <v>703</v>
      </c>
      <c r="E41" s="60" t="s">
        <v>69</v>
      </c>
      <c r="F41" s="61"/>
      <c r="G41" s="15" t="s">
        <v>704</v>
      </c>
    </row>
    <row r="42" ht="19.5" customHeight="1">
      <c r="A42" s="62" t="s">
        <v>620</v>
      </c>
      <c r="B42" s="63">
        <v>31.0</v>
      </c>
      <c r="C42" s="64" t="s">
        <v>702</v>
      </c>
      <c r="D42" s="26" t="s">
        <v>705</v>
      </c>
      <c r="E42" s="60" t="s">
        <v>69</v>
      </c>
      <c r="F42" s="61"/>
      <c r="G42" s="15" t="s">
        <v>706</v>
      </c>
    </row>
    <row r="43" ht="19.5" customHeight="1">
      <c r="A43" s="57" t="s">
        <v>620</v>
      </c>
      <c r="B43" s="58">
        <v>32.0</v>
      </c>
      <c r="C43" s="59" t="s">
        <v>702</v>
      </c>
      <c r="D43" s="22" t="s">
        <v>707</v>
      </c>
      <c r="E43" s="60" t="s">
        <v>74</v>
      </c>
      <c r="F43" s="61" t="s">
        <v>708</v>
      </c>
      <c r="G43" s="15" t="s">
        <v>709</v>
      </c>
    </row>
    <row r="44" ht="19.5" customHeight="1">
      <c r="A44" s="62" t="s">
        <v>620</v>
      </c>
      <c r="B44" s="63">
        <v>33.0</v>
      </c>
      <c r="C44" s="64" t="s">
        <v>710</v>
      </c>
      <c r="D44" s="26" t="s">
        <v>711</v>
      </c>
      <c r="E44" s="60" t="s">
        <v>46</v>
      </c>
      <c r="F44" s="61" t="s">
        <v>712</v>
      </c>
      <c r="G44" s="15" t="s">
        <v>713</v>
      </c>
    </row>
    <row r="45" ht="19.5" customHeight="1">
      <c r="A45" s="57" t="s">
        <v>620</v>
      </c>
      <c r="B45" s="58">
        <v>34.0</v>
      </c>
      <c r="C45" s="59" t="s">
        <v>710</v>
      </c>
      <c r="D45" s="22" t="s">
        <v>714</v>
      </c>
      <c r="E45" s="60" t="s">
        <v>715</v>
      </c>
      <c r="F45" s="61" t="s">
        <v>646</v>
      </c>
      <c r="G45" s="15" t="s">
        <v>716</v>
      </c>
    </row>
    <row r="46" ht="19.5" customHeight="1">
      <c r="A46" s="62" t="s">
        <v>620</v>
      </c>
      <c r="B46" s="63">
        <v>35.0</v>
      </c>
      <c r="C46" s="64" t="s">
        <v>710</v>
      </c>
      <c r="D46" s="26" t="s">
        <v>717</v>
      </c>
      <c r="E46" s="60" t="s">
        <v>46</v>
      </c>
      <c r="F46" s="61" t="s">
        <v>635</v>
      </c>
      <c r="G46" s="15" t="s">
        <v>718</v>
      </c>
    </row>
    <row r="47" ht="19.5" customHeight="1">
      <c r="A47" s="57" t="s">
        <v>620</v>
      </c>
      <c r="B47" s="58">
        <v>36.0</v>
      </c>
      <c r="C47" s="59" t="s">
        <v>710</v>
      </c>
      <c r="D47" s="22" t="s">
        <v>719</v>
      </c>
      <c r="E47" s="60" t="s">
        <v>46</v>
      </c>
      <c r="F47" s="61" t="s">
        <v>720</v>
      </c>
      <c r="G47" s="15" t="s">
        <v>721</v>
      </c>
    </row>
    <row r="48" ht="19.5" customHeight="1">
      <c r="A48" s="62" t="s">
        <v>620</v>
      </c>
      <c r="B48" s="63">
        <v>37.0</v>
      </c>
      <c r="C48" s="64" t="s">
        <v>710</v>
      </c>
      <c r="D48" s="26" t="s">
        <v>722</v>
      </c>
      <c r="E48" s="60" t="s">
        <v>46</v>
      </c>
      <c r="F48" s="61" t="s">
        <v>723</v>
      </c>
      <c r="G48" s="15" t="s">
        <v>724</v>
      </c>
    </row>
    <row r="49" ht="18.0" customHeight="1">
      <c r="A49" s="7" t="s">
        <v>725</v>
      </c>
      <c r="B49" s="8"/>
      <c r="C49" s="8"/>
      <c r="D49" s="8"/>
      <c r="E49" s="8"/>
      <c r="F49" s="8"/>
      <c r="G49" s="9"/>
    </row>
    <row r="50" ht="19.5" customHeight="1">
      <c r="A50" s="62" t="s">
        <v>620</v>
      </c>
      <c r="B50" s="63">
        <v>38.0</v>
      </c>
      <c r="C50" s="64" t="s">
        <v>726</v>
      </c>
      <c r="D50" s="26" t="s">
        <v>727</v>
      </c>
      <c r="E50" s="60" t="s">
        <v>100</v>
      </c>
      <c r="F50" s="61"/>
      <c r="G50" s="15" t="s">
        <v>728</v>
      </c>
    </row>
    <row r="51" ht="19.5" customHeight="1">
      <c r="A51" s="57" t="s">
        <v>620</v>
      </c>
      <c r="B51" s="58">
        <v>39.0</v>
      </c>
      <c r="C51" s="59" t="s">
        <v>726</v>
      </c>
      <c r="D51" s="22" t="s">
        <v>729</v>
      </c>
      <c r="E51" s="60" t="s">
        <v>100</v>
      </c>
      <c r="F51" s="61"/>
      <c r="G51" s="15" t="s">
        <v>730</v>
      </c>
    </row>
    <row r="52" ht="19.5" customHeight="1">
      <c r="A52" s="62" t="s">
        <v>620</v>
      </c>
      <c r="B52" s="63">
        <v>40.0</v>
      </c>
      <c r="C52" s="64" t="s">
        <v>726</v>
      </c>
      <c r="D52" s="26" t="s">
        <v>731</v>
      </c>
      <c r="E52" s="60" t="s">
        <v>100</v>
      </c>
      <c r="F52" s="61"/>
      <c r="G52" s="15" t="s">
        <v>732</v>
      </c>
    </row>
    <row r="53" ht="19.5" customHeight="1">
      <c r="A53" s="57" t="s">
        <v>620</v>
      </c>
      <c r="B53" s="58">
        <v>41.0</v>
      </c>
      <c r="C53" s="59" t="s">
        <v>726</v>
      </c>
      <c r="D53" s="22" t="s">
        <v>733</v>
      </c>
      <c r="E53" s="60" t="s">
        <v>734</v>
      </c>
      <c r="F53" s="61" t="s">
        <v>635</v>
      </c>
      <c r="G53" s="15" t="s">
        <v>713</v>
      </c>
    </row>
    <row r="54" ht="19.5" customHeight="1">
      <c r="A54" s="62" t="s">
        <v>620</v>
      </c>
      <c r="B54" s="65">
        <v>42.0</v>
      </c>
      <c r="C54" s="64" t="s">
        <v>726</v>
      </c>
      <c r="D54" s="26" t="s">
        <v>735</v>
      </c>
      <c r="E54" s="60" t="s">
        <v>734</v>
      </c>
      <c r="F54" s="61"/>
      <c r="G54" s="15" t="s">
        <v>736</v>
      </c>
    </row>
    <row r="55" ht="19.5" customHeight="1">
      <c r="A55" s="57" t="s">
        <v>620</v>
      </c>
      <c r="B55" s="65">
        <v>43.0</v>
      </c>
      <c r="C55" s="59" t="s">
        <v>726</v>
      </c>
      <c r="D55" s="22" t="s">
        <v>737</v>
      </c>
      <c r="E55" s="60" t="s">
        <v>738</v>
      </c>
      <c r="F55" s="61"/>
      <c r="G55" s="15" t="s">
        <v>739</v>
      </c>
    </row>
    <row r="56" ht="19.5" customHeight="1">
      <c r="A56" s="62" t="s">
        <v>620</v>
      </c>
      <c r="B56" s="65">
        <v>44.0</v>
      </c>
      <c r="C56" s="64" t="s">
        <v>726</v>
      </c>
      <c r="D56" s="26" t="s">
        <v>740</v>
      </c>
      <c r="E56" s="60" t="s">
        <v>741</v>
      </c>
      <c r="F56" s="61"/>
      <c r="G56" s="15" t="s">
        <v>742</v>
      </c>
    </row>
    <row r="57" ht="19.5" customHeight="1">
      <c r="A57" s="57" t="s">
        <v>620</v>
      </c>
      <c r="B57" s="65">
        <v>45.0</v>
      </c>
      <c r="C57" s="59" t="s">
        <v>726</v>
      </c>
      <c r="D57" s="22" t="s">
        <v>743</v>
      </c>
      <c r="E57" s="60" t="s">
        <v>744</v>
      </c>
      <c r="F57" s="61"/>
      <c r="G57" s="15" t="s">
        <v>745</v>
      </c>
    </row>
    <row r="58" ht="18.0" customHeight="1">
      <c r="A58" s="7" t="s">
        <v>746</v>
      </c>
      <c r="B58" s="8"/>
      <c r="C58" s="8"/>
      <c r="D58" s="8"/>
      <c r="E58" s="8"/>
      <c r="F58" s="8"/>
      <c r="G58" s="9"/>
    </row>
    <row r="59" ht="19.5" customHeight="1">
      <c r="A59" s="57" t="s">
        <v>620</v>
      </c>
      <c r="B59" s="65">
        <v>46.0</v>
      </c>
      <c r="C59" s="59" t="s">
        <v>747</v>
      </c>
      <c r="D59" s="22" t="s">
        <v>748</v>
      </c>
      <c r="E59" s="60" t="s">
        <v>749</v>
      </c>
      <c r="F59" s="61"/>
      <c r="G59" s="15" t="s">
        <v>750</v>
      </c>
    </row>
    <row r="60" ht="19.5" customHeight="1">
      <c r="A60" s="62" t="s">
        <v>620</v>
      </c>
      <c r="B60" s="65">
        <v>47.0</v>
      </c>
      <c r="C60" s="64" t="s">
        <v>747</v>
      </c>
      <c r="D60" s="26" t="s">
        <v>751</v>
      </c>
      <c r="E60" s="60" t="s">
        <v>752</v>
      </c>
      <c r="F60" s="61"/>
      <c r="G60" s="15" t="s">
        <v>753</v>
      </c>
    </row>
    <row r="61" ht="19.5" customHeight="1">
      <c r="A61" s="57" t="s">
        <v>620</v>
      </c>
      <c r="B61" s="58">
        <v>48.0</v>
      </c>
      <c r="C61" s="59" t="s">
        <v>747</v>
      </c>
      <c r="D61" s="22" t="s">
        <v>754</v>
      </c>
      <c r="E61" s="60" t="s">
        <v>752</v>
      </c>
      <c r="F61" s="61"/>
      <c r="G61" s="15" t="s">
        <v>755</v>
      </c>
    </row>
    <row r="62" ht="19.5" customHeight="1">
      <c r="A62" s="62" t="s">
        <v>620</v>
      </c>
      <c r="B62" s="63">
        <v>49.0</v>
      </c>
      <c r="C62" s="64" t="s">
        <v>747</v>
      </c>
      <c r="D62" s="26" t="s">
        <v>756</v>
      </c>
      <c r="E62" s="60" t="s">
        <v>752</v>
      </c>
      <c r="F62" s="61"/>
      <c r="G62" s="15" t="s">
        <v>757</v>
      </c>
    </row>
    <row r="63" ht="19.5" customHeight="1">
      <c r="A63" s="57" t="s">
        <v>620</v>
      </c>
      <c r="B63" s="58">
        <v>50.0</v>
      </c>
      <c r="C63" s="59" t="s">
        <v>747</v>
      </c>
      <c r="D63" s="22" t="s">
        <v>758</v>
      </c>
      <c r="E63" s="60" t="s">
        <v>117</v>
      </c>
      <c r="F63" s="61"/>
      <c r="G63" s="15" t="s">
        <v>759</v>
      </c>
    </row>
    <row r="64" ht="19.5" customHeight="1">
      <c r="A64" s="62" t="s">
        <v>620</v>
      </c>
      <c r="B64" s="63">
        <v>51.0</v>
      </c>
      <c r="C64" s="64" t="s">
        <v>747</v>
      </c>
      <c r="D64" s="26" t="s">
        <v>760</v>
      </c>
      <c r="E64" s="60" t="s">
        <v>108</v>
      </c>
      <c r="F64" s="61"/>
      <c r="G64" s="15" t="s">
        <v>761</v>
      </c>
    </row>
    <row r="65" ht="19.5" customHeight="1">
      <c r="A65" s="57" t="s">
        <v>620</v>
      </c>
      <c r="B65" s="58">
        <v>52.0</v>
      </c>
      <c r="C65" s="59" t="s">
        <v>747</v>
      </c>
      <c r="D65" s="22" t="s">
        <v>762</v>
      </c>
      <c r="E65" s="60" t="s">
        <v>121</v>
      </c>
      <c r="F65" s="61"/>
      <c r="G65" s="15" t="s">
        <v>763</v>
      </c>
    </row>
    <row r="66" ht="19.5" customHeight="1">
      <c r="A66" s="62" t="s">
        <v>620</v>
      </c>
      <c r="B66" s="65">
        <v>53.0</v>
      </c>
      <c r="C66" s="64" t="s">
        <v>747</v>
      </c>
      <c r="D66" s="26" t="s">
        <v>764</v>
      </c>
      <c r="E66" s="60" t="s">
        <v>765</v>
      </c>
      <c r="F66" s="61"/>
      <c r="G66" s="15" t="s">
        <v>766</v>
      </c>
    </row>
    <row r="67" ht="18.0" customHeight="1">
      <c r="A67" s="7" t="s">
        <v>767</v>
      </c>
      <c r="B67" s="8"/>
      <c r="C67" s="8"/>
      <c r="D67" s="8"/>
      <c r="E67" s="8"/>
      <c r="F67" s="8"/>
      <c r="G67" s="9"/>
    </row>
    <row r="68" ht="19.5" customHeight="1">
      <c r="A68" s="62" t="s">
        <v>620</v>
      </c>
      <c r="B68" s="65">
        <v>54.0</v>
      </c>
      <c r="C68" s="64" t="s">
        <v>306</v>
      </c>
      <c r="D68" s="26" t="s">
        <v>768</v>
      </c>
      <c r="E68" s="60" t="s">
        <v>769</v>
      </c>
      <c r="F68" s="61"/>
      <c r="G68" s="15" t="s">
        <v>770</v>
      </c>
    </row>
    <row r="69" ht="19.5" customHeight="1">
      <c r="A69" s="57" t="s">
        <v>620</v>
      </c>
      <c r="B69" s="58">
        <v>55.0</v>
      </c>
      <c r="C69" s="59" t="s">
        <v>306</v>
      </c>
      <c r="D69" s="22" t="s">
        <v>771</v>
      </c>
      <c r="E69" s="60" t="s">
        <v>138</v>
      </c>
      <c r="F69" s="61"/>
      <c r="G69" s="15" t="s">
        <v>772</v>
      </c>
    </row>
    <row r="70" ht="19.5" customHeight="1">
      <c r="A70" s="62" t="s">
        <v>620</v>
      </c>
      <c r="B70" s="63">
        <v>56.0</v>
      </c>
      <c r="C70" s="64" t="s">
        <v>306</v>
      </c>
      <c r="D70" s="26" t="s">
        <v>773</v>
      </c>
      <c r="E70" s="60" t="s">
        <v>133</v>
      </c>
      <c r="F70" s="61"/>
      <c r="G70" s="15" t="s">
        <v>134</v>
      </c>
    </row>
    <row r="71" ht="19.5" customHeight="1">
      <c r="A71" s="57" t="s">
        <v>620</v>
      </c>
      <c r="B71" s="58">
        <v>57.0</v>
      </c>
      <c r="C71" s="59" t="s">
        <v>306</v>
      </c>
      <c r="D71" s="22" t="s">
        <v>774</v>
      </c>
      <c r="E71" s="60" t="s">
        <v>775</v>
      </c>
      <c r="F71" s="61"/>
      <c r="G71" s="15" t="s">
        <v>776</v>
      </c>
    </row>
    <row r="72" ht="19.5" customHeight="1">
      <c r="A72" s="62" t="s">
        <v>620</v>
      </c>
      <c r="B72" s="63">
        <v>58.0</v>
      </c>
      <c r="C72" s="64" t="s">
        <v>306</v>
      </c>
      <c r="D72" s="26" t="s">
        <v>777</v>
      </c>
      <c r="E72" s="60" t="s">
        <v>778</v>
      </c>
      <c r="F72" s="61" t="s">
        <v>779</v>
      </c>
      <c r="G72" s="15" t="s">
        <v>780</v>
      </c>
    </row>
    <row r="73" ht="19.5" customHeight="1">
      <c r="A73" s="57" t="s">
        <v>620</v>
      </c>
      <c r="B73" s="58">
        <v>59.0</v>
      </c>
      <c r="C73" s="59" t="s">
        <v>306</v>
      </c>
      <c r="D73" s="22" t="s">
        <v>781</v>
      </c>
      <c r="E73" s="60" t="s">
        <v>154</v>
      </c>
      <c r="F73" s="61"/>
      <c r="G73" s="15" t="s">
        <v>782</v>
      </c>
    </row>
    <row r="74" ht="19.5" customHeight="1">
      <c r="A74" s="62" t="s">
        <v>620</v>
      </c>
      <c r="B74" s="65">
        <v>60.0</v>
      </c>
      <c r="C74" s="64" t="s">
        <v>306</v>
      </c>
      <c r="D74" s="26" t="s">
        <v>783</v>
      </c>
      <c r="E74" s="60" t="s">
        <v>784</v>
      </c>
      <c r="F74" s="61"/>
      <c r="G74" s="15" t="s">
        <v>785</v>
      </c>
    </row>
    <row r="75" ht="18.0" customHeight="1">
      <c r="A75" s="7" t="s">
        <v>786</v>
      </c>
      <c r="B75" s="8"/>
      <c r="C75" s="8"/>
      <c r="D75" s="8"/>
      <c r="E75" s="8"/>
      <c r="F75" s="8"/>
      <c r="G75" s="9"/>
    </row>
    <row r="76" ht="19.5" customHeight="1">
      <c r="A76" s="62" t="s">
        <v>620</v>
      </c>
      <c r="B76" s="63">
        <v>61.0</v>
      </c>
      <c r="C76" s="64" t="s">
        <v>787</v>
      </c>
      <c r="D76" s="26" t="s">
        <v>788</v>
      </c>
      <c r="E76" s="60" t="s">
        <v>789</v>
      </c>
      <c r="F76" s="61" t="s">
        <v>790</v>
      </c>
      <c r="G76" s="15" t="s">
        <v>791</v>
      </c>
    </row>
    <row r="77" ht="19.5" customHeight="1">
      <c r="A77" s="57" t="s">
        <v>620</v>
      </c>
      <c r="B77" s="58">
        <v>62.0</v>
      </c>
      <c r="C77" s="59" t="s">
        <v>787</v>
      </c>
      <c r="D77" s="22" t="s">
        <v>792</v>
      </c>
      <c r="E77" s="60" t="s">
        <v>775</v>
      </c>
      <c r="F77" s="61" t="s">
        <v>790</v>
      </c>
      <c r="G77" s="15" t="s">
        <v>793</v>
      </c>
    </row>
    <row r="78" ht="19.5" customHeight="1">
      <c r="A78" s="62" t="s">
        <v>620</v>
      </c>
      <c r="B78" s="63">
        <v>63.0</v>
      </c>
      <c r="C78" s="64" t="s">
        <v>787</v>
      </c>
      <c r="D78" s="26" t="s">
        <v>794</v>
      </c>
      <c r="E78" s="60" t="s">
        <v>795</v>
      </c>
      <c r="F78" s="61" t="s">
        <v>790</v>
      </c>
      <c r="G78" s="15" t="s">
        <v>796</v>
      </c>
    </row>
    <row r="79" ht="19.5" customHeight="1">
      <c r="A79" s="57" t="s">
        <v>620</v>
      </c>
      <c r="B79" s="58">
        <v>64.0</v>
      </c>
      <c r="C79" s="59" t="s">
        <v>797</v>
      </c>
      <c r="D79" s="22" t="s">
        <v>798</v>
      </c>
      <c r="E79" s="60" t="s">
        <v>799</v>
      </c>
      <c r="F79" s="61"/>
      <c r="G79" s="15" t="s">
        <v>800</v>
      </c>
    </row>
    <row r="80" ht="19.5" customHeight="1">
      <c r="A80" s="62" t="s">
        <v>620</v>
      </c>
      <c r="B80" s="63">
        <v>65.0</v>
      </c>
      <c r="C80" s="64" t="s">
        <v>797</v>
      </c>
      <c r="D80" s="26" t="s">
        <v>801</v>
      </c>
      <c r="E80" s="60" t="s">
        <v>802</v>
      </c>
      <c r="F80" s="61"/>
      <c r="G80" s="15" t="s">
        <v>803</v>
      </c>
    </row>
    <row r="81" ht="19.5" customHeight="1">
      <c r="A81" s="57" t="s">
        <v>620</v>
      </c>
      <c r="B81" s="58">
        <v>66.0</v>
      </c>
      <c r="C81" s="59" t="s">
        <v>797</v>
      </c>
      <c r="D81" s="22" t="s">
        <v>804</v>
      </c>
      <c r="E81" s="60" t="s">
        <v>805</v>
      </c>
      <c r="F81" s="61"/>
      <c r="G81" s="15" t="s">
        <v>806</v>
      </c>
    </row>
    <row r="82" ht="19.5" customHeight="1">
      <c r="A82" s="62" t="s">
        <v>620</v>
      </c>
      <c r="B82" s="63">
        <v>67.0</v>
      </c>
      <c r="C82" s="64" t="s">
        <v>797</v>
      </c>
      <c r="D82" s="26" t="s">
        <v>807</v>
      </c>
      <c r="E82" s="60"/>
      <c r="F82" s="61"/>
      <c r="G82" s="15" t="s">
        <v>808</v>
      </c>
    </row>
    <row r="83" ht="15.75" customHeight="1"/>
    <row r="84" ht="24.0" customHeight="1">
      <c r="A84" s="66" t="s">
        <v>809</v>
      </c>
      <c r="B84" s="2"/>
      <c r="C84" s="2"/>
      <c r="D84" s="3"/>
      <c r="E84" s="35"/>
      <c r="F84" s="35"/>
      <c r="G84" s="35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9:G49"/>
    <mergeCell ref="A58:G58"/>
    <mergeCell ref="A67:G67"/>
    <mergeCell ref="A75:G75"/>
    <mergeCell ref="A84:D84"/>
    <mergeCell ref="A2:G2"/>
    <mergeCell ref="A3:G3"/>
    <mergeCell ref="A4:G4"/>
    <mergeCell ref="A8:G8"/>
    <mergeCell ref="A19:G19"/>
    <mergeCell ref="A27:G27"/>
    <mergeCell ref="A40:G40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A2B8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65.0"/>
    <col customWidth="1" min="4" max="26" width="8.71"/>
  </cols>
  <sheetData>
    <row r="1" ht="6.0" customHeight="1"/>
    <row r="2" ht="39.75" customHeight="1">
      <c r="A2" s="1" t="s">
        <v>810</v>
      </c>
      <c r="B2" s="2"/>
      <c r="C2" s="3"/>
    </row>
    <row r="4" ht="7.5" customHeight="1"/>
    <row r="5" ht="21.75" customHeight="1">
      <c r="A5" s="17" t="s">
        <v>811</v>
      </c>
      <c r="B5" s="67" t="s">
        <v>812</v>
      </c>
      <c r="C5" s="68"/>
    </row>
    <row r="6" ht="48.0" customHeight="1">
      <c r="A6" s="69"/>
      <c r="B6" s="70" t="s">
        <v>813</v>
      </c>
      <c r="C6" s="71"/>
    </row>
    <row r="7" ht="7.5" customHeight="1"/>
    <row r="8" ht="21.75" customHeight="1">
      <c r="A8" s="17" t="s">
        <v>814</v>
      </c>
      <c r="B8" s="67" t="s">
        <v>815</v>
      </c>
      <c r="C8" s="68"/>
    </row>
    <row r="9" ht="48.0" customHeight="1">
      <c r="A9" s="69"/>
      <c r="B9" s="70" t="s">
        <v>816</v>
      </c>
      <c r="C9" s="71"/>
    </row>
    <row r="10" ht="7.5" customHeight="1"/>
    <row r="11" ht="21.75" customHeight="1">
      <c r="A11" s="17" t="s">
        <v>817</v>
      </c>
      <c r="B11" s="67" t="s">
        <v>818</v>
      </c>
      <c r="C11" s="68"/>
    </row>
    <row r="12" ht="48.0" customHeight="1">
      <c r="A12" s="69"/>
      <c r="B12" s="70" t="s">
        <v>819</v>
      </c>
      <c r="C12" s="71"/>
    </row>
    <row r="13" ht="7.5" customHeight="1"/>
    <row r="14" ht="21.75" customHeight="1">
      <c r="A14" s="17" t="s">
        <v>820</v>
      </c>
      <c r="B14" s="67" t="s">
        <v>821</v>
      </c>
      <c r="C14" s="68"/>
    </row>
    <row r="15" ht="48.0" customHeight="1">
      <c r="A15" s="69"/>
      <c r="B15" s="70" t="s">
        <v>822</v>
      </c>
      <c r="C15" s="71"/>
    </row>
    <row r="16" ht="7.5" customHeight="1"/>
    <row r="17" ht="21.75" customHeight="1">
      <c r="A17" s="17" t="s">
        <v>823</v>
      </c>
      <c r="B17" s="67" t="s">
        <v>824</v>
      </c>
      <c r="C17" s="68"/>
    </row>
    <row r="18" ht="48.0" customHeight="1">
      <c r="A18" s="69"/>
      <c r="B18" s="70" t="s">
        <v>825</v>
      </c>
      <c r="C18" s="71"/>
    </row>
    <row r="19" ht="7.5" customHeight="1"/>
    <row r="20" ht="21.75" customHeight="1">
      <c r="A20" s="17" t="s">
        <v>826</v>
      </c>
      <c r="B20" s="67" t="s">
        <v>827</v>
      </c>
      <c r="C20" s="68"/>
    </row>
    <row r="21" ht="48.0" customHeight="1">
      <c r="A21" s="69"/>
      <c r="B21" s="70" t="s">
        <v>828</v>
      </c>
      <c r="C21" s="71"/>
    </row>
    <row r="22" ht="7.5" customHeight="1"/>
    <row r="23" ht="21.75" customHeight="1">
      <c r="A23" s="17" t="s">
        <v>829</v>
      </c>
      <c r="B23" s="67" t="s">
        <v>830</v>
      </c>
      <c r="C23" s="68"/>
    </row>
    <row r="24" ht="48.0" customHeight="1">
      <c r="A24" s="69"/>
      <c r="B24" s="70" t="s">
        <v>831</v>
      </c>
      <c r="C24" s="71"/>
    </row>
    <row r="25" ht="7.5" customHeight="1"/>
    <row r="26" ht="21.75" customHeight="1">
      <c r="A26" s="17" t="s">
        <v>832</v>
      </c>
      <c r="B26" s="67" t="s">
        <v>833</v>
      </c>
      <c r="C26" s="68"/>
    </row>
    <row r="27" ht="48.0" customHeight="1">
      <c r="A27" s="69"/>
      <c r="B27" s="70" t="s">
        <v>834</v>
      </c>
      <c r="C27" s="71"/>
    </row>
    <row r="28" ht="7.5" customHeight="1"/>
    <row r="29" ht="21.75" customHeight="1">
      <c r="A29" s="17" t="s">
        <v>835</v>
      </c>
      <c r="B29" s="67" t="s">
        <v>836</v>
      </c>
      <c r="C29" s="68"/>
    </row>
    <row r="30" ht="48.0" customHeight="1">
      <c r="A30" s="69"/>
      <c r="B30" s="70" t="s">
        <v>837</v>
      </c>
      <c r="C30" s="71"/>
    </row>
    <row r="31" ht="7.5" customHeight="1"/>
    <row r="32" ht="21.75" customHeight="1">
      <c r="A32" s="17" t="s">
        <v>838</v>
      </c>
      <c r="B32" s="67" t="s">
        <v>839</v>
      </c>
      <c r="C32" s="68"/>
    </row>
    <row r="33" ht="48.0" customHeight="1">
      <c r="A33" s="69"/>
      <c r="B33" s="70" t="s">
        <v>840</v>
      </c>
      <c r="C33" s="71"/>
    </row>
    <row r="34" ht="7.5" customHeight="1"/>
    <row r="35" ht="21.75" customHeight="1">
      <c r="A35" s="17" t="s">
        <v>841</v>
      </c>
      <c r="B35" s="67" t="s">
        <v>842</v>
      </c>
      <c r="C35" s="68"/>
    </row>
    <row r="36" ht="48.0" customHeight="1">
      <c r="A36" s="69"/>
      <c r="B36" s="70" t="s">
        <v>843</v>
      </c>
      <c r="C36" s="71"/>
    </row>
    <row r="37" ht="7.5" customHeight="1"/>
    <row r="38" ht="21.75" customHeight="1">
      <c r="A38" s="17" t="s">
        <v>844</v>
      </c>
      <c r="B38" s="67" t="s">
        <v>845</v>
      </c>
      <c r="C38" s="68"/>
    </row>
    <row r="39" ht="48.0" customHeight="1">
      <c r="A39" s="69"/>
      <c r="B39" s="70" t="s">
        <v>846</v>
      </c>
      <c r="C39" s="71"/>
    </row>
    <row r="40" ht="7.5" customHeight="1"/>
    <row r="41" ht="21.75" customHeight="1">
      <c r="A41" s="72" t="s">
        <v>847</v>
      </c>
      <c r="B41" s="67" t="s">
        <v>848</v>
      </c>
      <c r="C41" s="68"/>
    </row>
    <row r="42" ht="48.0" customHeight="1">
      <c r="A42" s="69"/>
      <c r="B42" s="70" t="s">
        <v>849</v>
      </c>
      <c r="C42" s="71"/>
    </row>
    <row r="43" ht="7.5" customHeight="1"/>
    <row r="44" ht="21.75" customHeight="1">
      <c r="A44" s="73" t="s">
        <v>850</v>
      </c>
      <c r="B44" s="67" t="s">
        <v>851</v>
      </c>
      <c r="C44" s="68"/>
    </row>
    <row r="45" ht="48.0" customHeight="1">
      <c r="A45" s="69"/>
      <c r="B45" s="70" t="s">
        <v>852</v>
      </c>
      <c r="C45" s="7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2:C2"/>
    <mergeCell ref="B5:C5"/>
    <mergeCell ref="B6:C6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  <mergeCell ref="B23:C23"/>
    <mergeCell ref="B35:C35"/>
    <mergeCell ref="B36:C36"/>
    <mergeCell ref="B38:C38"/>
    <mergeCell ref="B39:C39"/>
    <mergeCell ref="B41:C41"/>
    <mergeCell ref="B42:C42"/>
    <mergeCell ref="B44:C44"/>
    <mergeCell ref="B45:C45"/>
    <mergeCell ref="B24:C24"/>
    <mergeCell ref="B26:C26"/>
    <mergeCell ref="B27:C27"/>
    <mergeCell ref="B29:C29"/>
    <mergeCell ref="B30:C30"/>
    <mergeCell ref="B32:C32"/>
    <mergeCell ref="B33:C33"/>
  </mergeCells>
  <printOptions/>
  <pageMargins bottom="1.0" footer="0.0" header="0.0" left="0.75" right="0.75" top="1.0"/>
  <pageSetup paperSize="9" orientation="portrait"/>
  <drawing r:id="rId1"/>
</worksheet>
</file>